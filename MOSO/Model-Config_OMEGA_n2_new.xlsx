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santuran/Desktop/MultiObj_CVaR_Fatemeh/Kronos v1.6.0/pyKronosModel-v1.6.0-2019-07-25-a/pyKronosModel-v1.6.0/conf/"/>
    </mc:Choice>
  </mc:AlternateContent>
  <xr:revisionPtr revIDLastSave="0" documentId="13_ncr:1_{FE969E5E-3B7C-C14C-81C0-8DBA40749D0E}" xr6:coauthVersionLast="45" xr6:coauthVersionMax="45" xr10:uidLastSave="{00000000-0000-0000-0000-000000000000}"/>
  <bookViews>
    <workbookView xWindow="1160" yWindow="460" windowWidth="24440" windowHeight="13920" activeTab="1" xr2:uid="{00000000-000D-0000-FFFF-FFFF00000000}"/>
  </bookViews>
  <sheets>
    <sheet name="Model" sheetId="1" r:id="rId1"/>
    <sheet name="Fleet Size Schedule" sheetId="2" r:id="rId2"/>
    <sheet name="Input Rate Schedule" sheetId="4" r:id="rId3"/>
    <sheet name="Workforce-Sailor" sheetId="6" r:id="rId4"/>
    <sheet name="Workforce-Officer" sheetId="5" r:id="rId5"/>
    <sheet name="Cost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68" i="2" l="1"/>
  <c r="C168" i="2"/>
  <c r="B164" i="2"/>
  <c r="C164" i="2"/>
  <c r="B165" i="2"/>
  <c r="C165" i="2"/>
  <c r="B166" i="2"/>
  <c r="C166" i="2"/>
  <c r="B167" i="2"/>
  <c r="C167" i="2"/>
  <c r="B161" i="2"/>
  <c r="C161" i="2"/>
  <c r="B162" i="2"/>
  <c r="C162" i="2"/>
  <c r="B163" i="2"/>
  <c r="C163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B86" i="2"/>
  <c r="C86" i="2"/>
  <c r="B87" i="2"/>
  <c r="C87" i="2"/>
  <c r="B88" i="2"/>
  <c r="C88" i="2"/>
  <c r="B89" i="2"/>
  <c r="C89" i="2"/>
  <c r="B90" i="2"/>
  <c r="C90" i="2"/>
  <c r="B91" i="2"/>
  <c r="C91" i="2"/>
  <c r="B92" i="2"/>
  <c r="C92" i="2"/>
  <c r="B93" i="2"/>
  <c r="C93" i="2"/>
  <c r="B94" i="2"/>
  <c r="C94" i="2"/>
  <c r="B95" i="2"/>
  <c r="C95" i="2"/>
  <c r="B96" i="2"/>
  <c r="C96" i="2"/>
  <c r="B97" i="2"/>
  <c r="C97" i="2"/>
  <c r="B98" i="2"/>
  <c r="C98" i="2"/>
  <c r="B99" i="2"/>
  <c r="C99" i="2"/>
  <c r="B100" i="2"/>
  <c r="C100" i="2"/>
  <c r="B101" i="2"/>
  <c r="C101" i="2"/>
  <c r="B102" i="2"/>
  <c r="C102" i="2"/>
  <c r="B103" i="2"/>
  <c r="C103" i="2"/>
  <c r="B104" i="2"/>
  <c r="C104" i="2"/>
  <c r="B105" i="2"/>
  <c r="C105" i="2"/>
  <c r="B106" i="2"/>
  <c r="C106" i="2"/>
  <c r="B107" i="2"/>
  <c r="C107" i="2"/>
  <c r="B108" i="2"/>
  <c r="C108" i="2"/>
  <c r="B109" i="2"/>
  <c r="C109" i="2"/>
  <c r="B110" i="2"/>
  <c r="C110" i="2"/>
  <c r="B111" i="2"/>
  <c r="C111" i="2"/>
  <c r="B112" i="2"/>
  <c r="C112" i="2"/>
  <c r="B113" i="2"/>
  <c r="C113" i="2"/>
  <c r="B114" i="2"/>
  <c r="C114" i="2"/>
  <c r="B115" i="2"/>
  <c r="C115" i="2"/>
  <c r="B116" i="2"/>
  <c r="C116" i="2"/>
  <c r="B117" i="2"/>
  <c r="C117" i="2"/>
  <c r="B118" i="2"/>
  <c r="C118" i="2"/>
  <c r="B119" i="2"/>
  <c r="C119" i="2"/>
  <c r="B120" i="2"/>
  <c r="C120" i="2"/>
  <c r="B121" i="2"/>
  <c r="C121" i="2"/>
  <c r="B122" i="2"/>
  <c r="C122" i="2"/>
  <c r="B123" i="2"/>
  <c r="C123" i="2"/>
  <c r="B124" i="2"/>
  <c r="C124" i="2"/>
  <c r="B125" i="2"/>
  <c r="C125" i="2"/>
  <c r="B126" i="2"/>
  <c r="C126" i="2"/>
  <c r="B127" i="2"/>
  <c r="C127" i="2"/>
  <c r="B128" i="2"/>
  <c r="C128" i="2"/>
  <c r="B129" i="2"/>
  <c r="C129" i="2"/>
  <c r="B130" i="2"/>
  <c r="C130" i="2"/>
  <c r="B131" i="2"/>
  <c r="C131" i="2"/>
  <c r="B132" i="2"/>
  <c r="C132" i="2"/>
  <c r="B133" i="2"/>
  <c r="C133" i="2"/>
  <c r="B134" i="2"/>
  <c r="C134" i="2"/>
  <c r="B135" i="2"/>
  <c r="C135" i="2"/>
  <c r="B136" i="2"/>
  <c r="C136" i="2"/>
  <c r="B137" i="2"/>
  <c r="C137" i="2"/>
  <c r="B138" i="2"/>
  <c r="C138" i="2"/>
  <c r="B139" i="2"/>
  <c r="C139" i="2"/>
  <c r="B140" i="2"/>
  <c r="C140" i="2"/>
  <c r="B141" i="2"/>
  <c r="C141" i="2"/>
  <c r="B142" i="2"/>
  <c r="C142" i="2"/>
  <c r="B143" i="2"/>
  <c r="C143" i="2"/>
  <c r="B144" i="2"/>
  <c r="C144" i="2"/>
  <c r="B145" i="2"/>
  <c r="C145" i="2"/>
  <c r="B146" i="2"/>
  <c r="C146" i="2"/>
  <c r="B147" i="2"/>
  <c r="C147" i="2"/>
  <c r="B148" i="2"/>
  <c r="C148" i="2"/>
  <c r="B149" i="2"/>
  <c r="C149" i="2"/>
  <c r="B150" i="2"/>
  <c r="C150" i="2"/>
  <c r="B151" i="2"/>
  <c r="C151" i="2"/>
  <c r="B152" i="2"/>
  <c r="C152" i="2"/>
  <c r="B153" i="2"/>
  <c r="C153" i="2"/>
  <c r="B154" i="2"/>
  <c r="C154" i="2"/>
  <c r="B155" i="2"/>
  <c r="C155" i="2"/>
  <c r="B156" i="2"/>
  <c r="C156" i="2"/>
  <c r="B157" i="2"/>
  <c r="C157" i="2"/>
  <c r="B158" i="2"/>
  <c r="C158" i="2"/>
  <c r="B159" i="2"/>
  <c r="C159" i="2"/>
  <c r="B160" i="2"/>
  <c r="C160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25" i="4" l="1"/>
  <c r="B26" i="4" s="1"/>
  <c r="B27" i="4" s="1"/>
  <c r="B28" i="4" s="1"/>
  <c r="B29" i="4" s="1"/>
  <c r="B30" i="4" s="1"/>
  <c r="B31" i="4" s="1"/>
  <c r="B32" i="4" s="1"/>
  <c r="B33" i="4" s="1"/>
  <c r="B34" i="4" s="1"/>
  <c r="B55" i="4"/>
  <c r="B56" i="4" s="1"/>
  <c r="B57" i="4" s="1"/>
  <c r="B58" i="4" s="1"/>
  <c r="B59" i="4" s="1"/>
  <c r="B60" i="4" s="1"/>
  <c r="B61" i="4" s="1"/>
  <c r="B62" i="4" s="1"/>
  <c r="B63" i="4" s="1"/>
  <c r="B64" i="4" s="1"/>
  <c r="H61" i="2"/>
  <c r="H62" i="2"/>
  <c r="H63" i="2"/>
  <c r="H6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" i="2" l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5" i="2"/>
  <c r="B36" i="4" l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6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A35" i="4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C5" i="2" l="1"/>
  <c r="B5" i="2"/>
  <c r="A1" i="2" l="1"/>
  <c r="A1" i="1" l="1"/>
  <c r="A1" i="5" l="1"/>
  <c r="A1" i="6" l="1"/>
  <c r="A1" i="4" l="1"/>
</calcChain>
</file>

<file path=xl/sharedStrings.xml><?xml version="1.0" encoding="utf-8"?>
<sst xmlns="http://schemas.openxmlformats.org/spreadsheetml/2006/main" count="202" uniqueCount="56">
  <si>
    <t>Start Date</t>
  </si>
  <si>
    <t>End Date</t>
  </si>
  <si>
    <t>Date</t>
  </si>
  <si>
    <t>Version</t>
  </si>
  <si>
    <t>Workforce Type</t>
  </si>
  <si>
    <t>Officer</t>
  </si>
  <si>
    <t>Sailor</t>
  </si>
  <si>
    <t>Type</t>
  </si>
  <si>
    <t>Rank 1</t>
  </si>
  <si>
    <t>Rank 2</t>
  </si>
  <si>
    <t>Rank 3</t>
  </si>
  <si>
    <t>Rank 4</t>
  </si>
  <si>
    <t>Crew Ranking Structure</t>
  </si>
  <si>
    <t>Index</t>
  </si>
  <si>
    <t>Stages</t>
  </si>
  <si>
    <t>Ranks</t>
  </si>
  <si>
    <t>Ready</t>
  </si>
  <si>
    <t>Reset</t>
  </si>
  <si>
    <t>Readying</t>
  </si>
  <si>
    <t>Initial Stocks</t>
  </si>
  <si>
    <t>Average Operations Time</t>
  </si>
  <si>
    <t>mm/yyyy</t>
  </si>
  <si>
    <t>Required per Platform</t>
  </si>
  <si>
    <t>Loss-Wastage (Fraction)</t>
  </si>
  <si>
    <t>Rates</t>
  </si>
  <si>
    <t>Available</t>
  </si>
  <si>
    <t>NSGL</t>
  </si>
  <si>
    <t>Reset To NSGL</t>
  </si>
  <si>
    <t>NSGL to Available</t>
  </si>
  <si>
    <t>Reset to Readying</t>
  </si>
  <si>
    <t>Readying to Available</t>
  </si>
  <si>
    <t>Readying to Available (next rank)</t>
  </si>
  <si>
    <t>Flows</t>
  </si>
  <si>
    <t>Input parameters for this workforce (red cells are not mapped to model parameters)</t>
  </si>
  <si>
    <t>Reset to NSGL</t>
  </si>
  <si>
    <t>NSGL to Available (same rank)</t>
  </si>
  <si>
    <t>Personnel Flows</t>
  </si>
  <si>
    <t>expected Reset To NSGL</t>
  </si>
  <si>
    <t>max Reset to Readying</t>
  </si>
  <si>
    <t>max Readying to Available (next rank)</t>
  </si>
  <si>
    <t>expected NSGL to Available (same rank)</t>
  </si>
  <si>
    <t>quarters</t>
  </si>
  <si>
    <t>Average Flow Time (quarters)</t>
  </si>
  <si>
    <t>Slot</t>
  </si>
  <si>
    <t>From</t>
  </si>
  <si>
    <t>To</t>
  </si>
  <si>
    <t>Slot Mode</t>
  </si>
  <si>
    <t>DECREASE_OPS_TIME</t>
  </si>
  <si>
    <t>Fleet Size</t>
  </si>
  <si>
    <t>SIMPLE</t>
  </si>
  <si>
    <t>ZERO_AVAILABILITY</t>
  </si>
  <si>
    <t>Input parameters for  workforce cost; i.e., quarterly salary</t>
  </si>
  <si>
    <t>Cost of not deploying a platfrom</t>
  </si>
  <si>
    <t>1.2.3</t>
  </si>
  <si>
    <t>Old Fleet</t>
  </si>
  <si>
    <t>New Fleet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</si>
</sst>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1" fillId="2" borderId="2" applyNumberFormat="0" applyFont="0" applyAlignment="0" applyProtection="0"/>
    <xf numFmtId="0" fontId="4" fillId="0" borderId="0" applyNumberFormat="0" applyFill="0" applyBorder="0" applyAlignment="0" applyProtection="0"/>
    <xf numFmtId="0" fontId="5" fillId="3" borderId="0" applyNumberFormat="0" applyBorder="0" applyAlignment="0" applyProtection="0"/>
  </cellStyleXfs>
  <cellXfs count="17">
    <xf numFmtId="0" fontId="0" fillId="0" borderId="0" xfId="0"/>
    <xf numFmtId="0" fontId="2" fillId="0" borderId="1" xfId="1"/>
    <xf numFmtId="0" fontId="3" fillId="0" borderId="0" xfId="0" applyFont="1" applyAlignment="1">
      <alignment horizontal="center"/>
    </xf>
    <xf numFmtId="0" fontId="0" fillId="2" borderId="2" xfId="2" applyFont="1" applyAlignment="1">
      <alignment horizontal="center"/>
    </xf>
    <xf numFmtId="0" fontId="0" fillId="2" borderId="2" xfId="2" applyFont="1" applyAlignment="1">
      <alignment horizontal="right"/>
    </xf>
    <xf numFmtId="0" fontId="0" fillId="2" borderId="2" xfId="2" applyFont="1"/>
    <xf numFmtId="0" fontId="3" fillId="0" borderId="0" xfId="0" applyFont="1" applyFill="1" applyBorder="1" applyAlignment="1">
      <alignment horizontal="center"/>
    </xf>
    <xf numFmtId="17" fontId="0" fillId="2" borderId="2" xfId="2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Fill="1" applyBorder="1" applyAlignment="1">
      <alignment horizontal="right"/>
    </xf>
    <xf numFmtId="0" fontId="4" fillId="0" borderId="0" xfId="3"/>
    <xf numFmtId="0" fontId="5" fillId="3" borderId="2" xfId="4" applyBorder="1" applyAlignment="1">
      <alignment horizontal="center"/>
    </xf>
    <xf numFmtId="0" fontId="5" fillId="3" borderId="3" xfId="4" applyBorder="1" applyAlignment="1">
      <alignment horizontal="center"/>
    </xf>
    <xf numFmtId="0" fontId="5" fillId="3" borderId="4" xfId="4" applyBorder="1" applyAlignment="1">
      <alignment horizontal="center"/>
    </xf>
    <xf numFmtId="17" fontId="5" fillId="3" borderId="2" xfId="4" applyNumberFormat="1" applyBorder="1" applyAlignment="1">
      <alignment horizontal="center"/>
    </xf>
    <xf numFmtId="0" fontId="5" fillId="3" borderId="5" xfId="4" applyBorder="1" applyAlignment="1">
      <alignment horizontal="right"/>
    </xf>
    <xf numFmtId="1" fontId="0" fillId="2" borderId="2" xfId="2" applyNumberFormat="1" applyFont="1" applyAlignment="1">
      <alignment horizontal="center"/>
    </xf>
  </cellXfs>
  <cellStyles count="5">
    <cellStyle name="Bad" xfId="4" builtinId="27"/>
    <cellStyle name="Explanatory Text" xfId="3" builtinId="53"/>
    <cellStyle name="Heading 1" xfId="1" builtinId="16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workbookViewId="0">
      <selection activeCell="B20" sqref="B20"/>
    </sheetView>
  </sheetViews>
  <sheetFormatPr baseColWidth="10" defaultColWidth="8.83203125" defaultRowHeight="15" x14ac:dyDescent="0.2"/>
  <cols>
    <col min="1" max="1" width="25.1640625" customWidth="1"/>
    <col min="2" max="2" width="22.33203125" customWidth="1"/>
    <col min="3" max="3" width="20.5" customWidth="1"/>
    <col min="4" max="4" width="15.5" customWidth="1"/>
    <col min="5" max="5" width="31" bestFit="1" customWidth="1"/>
  </cols>
  <sheetData>
    <row r="1" spans="1:11" ht="21" thickBot="1" x14ac:dyDescent="0.3">
      <c r="A1" s="1" t="str">
        <f ca="1">MID(CELL("filename",A1),FIND("]",CELL("filename",A1))+1,255)</f>
        <v>Model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" thickTop="1" x14ac:dyDescent="0.2"/>
    <row r="4" spans="1:11" x14ac:dyDescent="0.2">
      <c r="A4" s="8" t="s">
        <v>3</v>
      </c>
      <c r="B4" s="4" t="s">
        <v>53</v>
      </c>
    </row>
    <row r="5" spans="1:11" x14ac:dyDescent="0.2">
      <c r="A5" s="8" t="s">
        <v>0</v>
      </c>
      <c r="B5" s="7">
        <v>43831</v>
      </c>
      <c r="C5" s="10" t="s">
        <v>21</v>
      </c>
    </row>
    <row r="6" spans="1:11" x14ac:dyDescent="0.2">
      <c r="A6" s="8" t="s">
        <v>1</v>
      </c>
      <c r="B6" s="7">
        <v>58441</v>
      </c>
      <c r="C6" s="10" t="s">
        <v>21</v>
      </c>
    </row>
    <row r="8" spans="1:11" x14ac:dyDescent="0.2">
      <c r="A8" s="9" t="s">
        <v>20</v>
      </c>
      <c r="B8" s="5">
        <v>2</v>
      </c>
      <c r="C8" s="10" t="s">
        <v>41</v>
      </c>
    </row>
    <row r="10" spans="1:11" x14ac:dyDescent="0.2">
      <c r="A10" s="2" t="s">
        <v>13</v>
      </c>
      <c r="B10" s="2" t="s">
        <v>4</v>
      </c>
      <c r="C10" s="2" t="s">
        <v>14</v>
      </c>
      <c r="D10" s="2" t="s">
        <v>15</v>
      </c>
      <c r="E10" s="2" t="s">
        <v>32</v>
      </c>
    </row>
    <row r="11" spans="1:11" x14ac:dyDescent="0.2">
      <c r="A11" s="2">
        <v>1</v>
      </c>
      <c r="B11" s="3" t="s">
        <v>5</v>
      </c>
      <c r="C11" s="12" t="s">
        <v>25</v>
      </c>
      <c r="D11" s="12" t="s">
        <v>8</v>
      </c>
      <c r="E11" s="12" t="s">
        <v>34</v>
      </c>
    </row>
    <row r="12" spans="1:11" x14ac:dyDescent="0.2">
      <c r="A12" s="2">
        <v>2</v>
      </c>
      <c r="B12" s="3" t="s">
        <v>6</v>
      </c>
      <c r="C12" s="12" t="s">
        <v>16</v>
      </c>
      <c r="D12" s="12" t="s">
        <v>9</v>
      </c>
      <c r="E12" s="12" t="s">
        <v>28</v>
      </c>
    </row>
    <row r="13" spans="1:11" x14ac:dyDescent="0.2">
      <c r="A13" s="2">
        <v>3</v>
      </c>
      <c r="B13" s="3"/>
      <c r="C13" s="12" t="s">
        <v>17</v>
      </c>
      <c r="D13" s="12" t="s">
        <v>10</v>
      </c>
      <c r="E13" s="12" t="s">
        <v>29</v>
      </c>
    </row>
    <row r="14" spans="1:11" x14ac:dyDescent="0.2">
      <c r="A14" s="6">
        <v>4</v>
      </c>
      <c r="B14" s="3"/>
      <c r="C14" s="12" t="s">
        <v>26</v>
      </c>
      <c r="D14" s="12" t="s">
        <v>11</v>
      </c>
      <c r="E14" s="12" t="s">
        <v>30</v>
      </c>
    </row>
    <row r="15" spans="1:11" x14ac:dyDescent="0.2">
      <c r="A15" s="6">
        <v>5</v>
      </c>
      <c r="B15" s="5"/>
      <c r="C15" s="12" t="s">
        <v>18</v>
      </c>
      <c r="D15" s="12"/>
      <c r="E15" s="12"/>
    </row>
    <row r="18" spans="1:3" x14ac:dyDescent="0.2">
      <c r="A18" s="8" t="s">
        <v>46</v>
      </c>
      <c r="B18" s="3" t="s">
        <v>50</v>
      </c>
      <c r="C18" s="15" t="s">
        <v>49</v>
      </c>
    </row>
    <row r="19" spans="1:3" x14ac:dyDescent="0.2">
      <c r="C19" s="15" t="s">
        <v>50</v>
      </c>
    </row>
    <row r="20" spans="1:3" x14ac:dyDescent="0.2">
      <c r="C20" s="15" t="s">
        <v>47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9"/>
  <sheetViews>
    <sheetView tabSelected="1" topLeftCell="A143" workbookViewId="0">
      <selection activeCell="B165" sqref="B165"/>
    </sheetView>
  </sheetViews>
  <sheetFormatPr baseColWidth="10" defaultColWidth="8.83203125" defaultRowHeight="15" x14ac:dyDescent="0.2"/>
  <cols>
    <col min="1" max="1" width="22.6640625" customWidth="1"/>
    <col min="2" max="3" width="15.5" customWidth="1"/>
    <col min="4" max="4" width="22.6640625" customWidth="1"/>
  </cols>
  <sheetData>
    <row r="1" spans="1:11" ht="21" thickBot="1" x14ac:dyDescent="0.3">
      <c r="A1" s="1" t="str">
        <f ca="1">MID(CELL("filename",A1),FIND("]",CELL("filename",A1))+1,255)</f>
        <v>Fleet Size Schedule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" thickTop="1" x14ac:dyDescent="0.2"/>
    <row r="4" spans="1:11" x14ac:dyDescent="0.2">
      <c r="A4" s="2" t="s">
        <v>43</v>
      </c>
      <c r="B4" s="2" t="s">
        <v>44</v>
      </c>
      <c r="C4" s="2" t="s">
        <v>45</v>
      </c>
      <c r="D4" s="2" t="s">
        <v>48</v>
      </c>
      <c r="F4" s="2" t="s">
        <v>54</v>
      </c>
      <c r="G4" s="2" t="s">
        <v>55</v>
      </c>
      <c r="H4" s="2" t="s">
        <v>48</v>
      </c>
    </row>
    <row r="5" spans="1:11" x14ac:dyDescent="0.2">
      <c r="A5" s="13">
        <v>1</v>
      </c>
      <c r="B5" s="14">
        <f>EDATE( Model!B$5, 3 * ( A5 - 1 ) * Model!B$8 )</f>
        <v>43831</v>
      </c>
      <c r="C5" s="14">
        <f>EDATE( Model!B$5, 3 * ( A5 ) * Model!B$8 )</f>
        <v>44013</v>
      </c>
      <c r="D5" s="16"/>
      <c r="F5">
        <v>3</v>
      </c>
      <c r="G5">
        <v>0</v>
      </c>
      <c r="H5">
        <f>F5+G5</f>
        <v>3</v>
      </c>
    </row>
    <row r="6" spans="1:11" x14ac:dyDescent="0.2">
      <c r="A6" s="13">
        <v>2</v>
      </c>
      <c r="B6" s="14">
        <f>EDATE( Model!B$5, 3 * ( A6 - 1 ) * Model!B$8 )</f>
        <v>44013</v>
      </c>
      <c r="C6" s="14">
        <f>EDATE( Model!B$5, 3 * ( A6 ) * Model!B$8 )</f>
        <v>44197</v>
      </c>
      <c r="D6" s="16"/>
      <c r="F6">
        <v>3</v>
      </c>
      <c r="G6">
        <v>0</v>
      </c>
      <c r="H6">
        <f t="shared" ref="H6:H44" si="0">F6+G6</f>
        <v>3</v>
      </c>
    </row>
    <row r="7" spans="1:11" x14ac:dyDescent="0.2">
      <c r="A7" s="13">
        <v>3</v>
      </c>
      <c r="B7" s="14">
        <f>EDATE( Model!B$5, 3 * ( A7 - 1 ) * Model!B$8 )</f>
        <v>44197</v>
      </c>
      <c r="C7" s="14">
        <f>EDATE( Model!B$5, 3 * ( A7 ) * Model!B$8 )</f>
        <v>44378</v>
      </c>
      <c r="D7" s="16"/>
      <c r="F7">
        <v>2</v>
      </c>
      <c r="G7">
        <v>0</v>
      </c>
      <c r="H7">
        <f t="shared" si="0"/>
        <v>2</v>
      </c>
    </row>
    <row r="8" spans="1:11" x14ac:dyDescent="0.2">
      <c r="A8" s="13">
        <v>4</v>
      </c>
      <c r="B8" s="14">
        <f>EDATE( Model!B$5, 3 * ( A8 - 1 ) * Model!B$8 )</f>
        <v>44378</v>
      </c>
      <c r="C8" s="14">
        <f>EDATE( Model!B$5, 3 * ( A8 ) * Model!B$8 )</f>
        <v>44562</v>
      </c>
      <c r="D8" s="16"/>
      <c r="F8">
        <v>2</v>
      </c>
      <c r="G8">
        <v>0</v>
      </c>
      <c r="H8">
        <f t="shared" si="0"/>
        <v>2</v>
      </c>
    </row>
    <row r="9" spans="1:11" x14ac:dyDescent="0.2">
      <c r="A9" s="13">
        <v>5</v>
      </c>
      <c r="B9" s="14">
        <f>EDATE( Model!B$5, 3 * ( A9 - 1 ) * Model!B$8 )</f>
        <v>44562</v>
      </c>
      <c r="C9" s="14">
        <f>EDATE( Model!B$5, 3 * ( A9 ) * Model!B$8 )</f>
        <v>44743</v>
      </c>
      <c r="D9" s="16"/>
      <c r="F9">
        <v>2</v>
      </c>
      <c r="G9">
        <v>0</v>
      </c>
      <c r="H9">
        <f t="shared" si="0"/>
        <v>2</v>
      </c>
    </row>
    <row r="10" spans="1:11" x14ac:dyDescent="0.2">
      <c r="A10" s="13">
        <v>6</v>
      </c>
      <c r="B10" s="14">
        <f>EDATE( Model!B$5, 3 * ( A10 - 1 ) * Model!B$8 )</f>
        <v>44743</v>
      </c>
      <c r="C10" s="14">
        <f>EDATE( Model!B$5, 3 * ( A10 ) * Model!B$8 )</f>
        <v>44927</v>
      </c>
      <c r="D10" s="16"/>
      <c r="F10">
        <v>2</v>
      </c>
      <c r="G10">
        <v>0</v>
      </c>
      <c r="H10">
        <f t="shared" si="0"/>
        <v>2</v>
      </c>
    </row>
    <row r="11" spans="1:11" x14ac:dyDescent="0.2">
      <c r="A11" s="13">
        <v>7</v>
      </c>
      <c r="B11" s="14">
        <f>EDATE( Model!B$5, 3 * ( A11 - 1 ) * Model!B$8 )</f>
        <v>44927</v>
      </c>
      <c r="C11" s="14">
        <f>EDATE( Model!B$5, 3 * ( A11 ) * Model!B$8 )</f>
        <v>45108</v>
      </c>
      <c r="D11" s="16"/>
      <c r="F11">
        <v>2</v>
      </c>
      <c r="G11">
        <v>0</v>
      </c>
      <c r="H11">
        <f t="shared" si="0"/>
        <v>2</v>
      </c>
    </row>
    <row r="12" spans="1:11" x14ac:dyDescent="0.2">
      <c r="A12" s="13">
        <v>8</v>
      </c>
      <c r="B12" s="14">
        <f>EDATE( Model!B$5, 3 * ( A12 - 1 ) * Model!B$8 )</f>
        <v>45108</v>
      </c>
      <c r="C12" s="14">
        <f>EDATE( Model!B$5, 3 * ( A12 ) * Model!B$8 )</f>
        <v>45292</v>
      </c>
      <c r="D12" s="16"/>
      <c r="F12">
        <v>2</v>
      </c>
      <c r="G12">
        <v>1</v>
      </c>
      <c r="H12">
        <f t="shared" si="0"/>
        <v>3</v>
      </c>
    </row>
    <row r="13" spans="1:11" x14ac:dyDescent="0.2">
      <c r="A13" s="13">
        <v>9</v>
      </c>
      <c r="B13" s="14">
        <f>EDATE( Model!B$5, 3 * ( A13 - 1 ) * Model!B$8 )</f>
        <v>45292</v>
      </c>
      <c r="C13" s="14">
        <f>EDATE( Model!B$5, 3 * ( A13 ) * Model!B$8 )</f>
        <v>45474</v>
      </c>
      <c r="D13" s="16"/>
      <c r="F13">
        <v>2</v>
      </c>
      <c r="G13">
        <v>1</v>
      </c>
      <c r="H13">
        <f t="shared" si="0"/>
        <v>3</v>
      </c>
    </row>
    <row r="14" spans="1:11" x14ac:dyDescent="0.2">
      <c r="A14" s="13">
        <v>10</v>
      </c>
      <c r="B14" s="14">
        <f>EDATE( Model!B$5, 3 * ( A14 - 1 ) * Model!B$8 )</f>
        <v>45474</v>
      </c>
      <c r="C14" s="14">
        <f>EDATE( Model!B$5, 3 * ( A14 ) * Model!B$8 )</f>
        <v>45658</v>
      </c>
      <c r="D14" s="16"/>
      <c r="F14">
        <v>2</v>
      </c>
      <c r="G14">
        <v>1</v>
      </c>
      <c r="H14">
        <f t="shared" si="0"/>
        <v>3</v>
      </c>
    </row>
    <row r="15" spans="1:11" x14ac:dyDescent="0.2">
      <c r="A15" s="13">
        <v>11</v>
      </c>
      <c r="B15" s="14">
        <f>EDATE( Model!B$5, 3 * ( A15 - 1 ) * Model!B$8 )</f>
        <v>45658</v>
      </c>
      <c r="C15" s="14">
        <f>EDATE( Model!B$5, 3 * ( A15 ) * Model!B$8 )</f>
        <v>45839</v>
      </c>
      <c r="D15" s="16"/>
      <c r="F15">
        <v>2</v>
      </c>
      <c r="G15">
        <v>1</v>
      </c>
      <c r="H15">
        <f t="shared" si="0"/>
        <v>3</v>
      </c>
    </row>
    <row r="16" spans="1:11" x14ac:dyDescent="0.2">
      <c r="A16" s="13">
        <v>12</v>
      </c>
      <c r="B16" s="14">
        <f>EDATE( Model!B$5, 3 * ( A16 - 1 ) * Model!B$8 )</f>
        <v>45839</v>
      </c>
      <c r="C16" s="14">
        <f>EDATE( Model!B$5, 3 * ( A16 ) * Model!B$8 )</f>
        <v>46023</v>
      </c>
      <c r="D16" s="16"/>
      <c r="F16">
        <v>2</v>
      </c>
      <c r="G16">
        <v>1</v>
      </c>
      <c r="H16">
        <f t="shared" si="0"/>
        <v>3</v>
      </c>
    </row>
    <row r="17" spans="1:8" x14ac:dyDescent="0.2">
      <c r="A17" s="13">
        <v>13</v>
      </c>
      <c r="B17" s="14">
        <f>EDATE( Model!B$5, 3 * ( A17 - 1 ) * Model!B$8 )</f>
        <v>46023</v>
      </c>
      <c r="C17" s="14">
        <f>EDATE( Model!B$5, 3 * ( A17 ) * Model!B$8 )</f>
        <v>46204</v>
      </c>
      <c r="D17" s="16"/>
      <c r="F17">
        <v>1</v>
      </c>
      <c r="G17">
        <v>1</v>
      </c>
      <c r="H17">
        <f t="shared" si="0"/>
        <v>2</v>
      </c>
    </row>
    <row r="18" spans="1:8" x14ac:dyDescent="0.2">
      <c r="A18" s="13">
        <v>14</v>
      </c>
      <c r="B18" s="14">
        <f>EDATE( Model!B$5, 3 * ( A18 - 1 ) * Model!B$8 )</f>
        <v>46204</v>
      </c>
      <c r="C18" s="14">
        <f>EDATE( Model!B$5, 3 * ( A18 ) * Model!B$8 )</f>
        <v>46388</v>
      </c>
      <c r="D18" s="16"/>
      <c r="F18">
        <v>1</v>
      </c>
      <c r="G18">
        <v>2</v>
      </c>
      <c r="H18">
        <f t="shared" si="0"/>
        <v>3</v>
      </c>
    </row>
    <row r="19" spans="1:8" x14ac:dyDescent="0.2">
      <c r="A19" s="13">
        <v>15</v>
      </c>
      <c r="B19" s="14">
        <f>EDATE( Model!B$5, 3 * ( A19 - 1 ) * Model!B$8 )</f>
        <v>46388</v>
      </c>
      <c r="C19" s="14">
        <f>EDATE( Model!B$5, 3 * ( A19 ) * Model!B$8 )</f>
        <v>46569</v>
      </c>
      <c r="D19" s="16"/>
      <c r="F19">
        <v>1</v>
      </c>
      <c r="G19">
        <v>2</v>
      </c>
      <c r="H19">
        <f t="shared" si="0"/>
        <v>3</v>
      </c>
    </row>
    <row r="20" spans="1:8" x14ac:dyDescent="0.2">
      <c r="A20" s="13">
        <v>16</v>
      </c>
      <c r="B20" s="14">
        <f>EDATE( Model!B$5, 3 * ( A20 - 1 ) * Model!B$8 )</f>
        <v>46569</v>
      </c>
      <c r="C20" s="14">
        <f>EDATE( Model!B$5, 3 * ( A20 ) * Model!B$8 )</f>
        <v>46753</v>
      </c>
      <c r="D20" s="16"/>
      <c r="F20">
        <v>1</v>
      </c>
      <c r="G20">
        <v>2</v>
      </c>
      <c r="H20">
        <f t="shared" si="0"/>
        <v>3</v>
      </c>
    </row>
    <row r="21" spans="1:8" x14ac:dyDescent="0.2">
      <c r="A21" s="13">
        <v>17</v>
      </c>
      <c r="B21" s="14">
        <f>EDATE( Model!B$5, 3 * ( A21 - 1 ) * Model!B$8 )</f>
        <v>46753</v>
      </c>
      <c r="C21" s="14">
        <f>EDATE( Model!B$5, 3 * ( A21 ) * Model!B$8 )</f>
        <v>46935</v>
      </c>
      <c r="D21" s="16"/>
      <c r="F21">
        <v>1</v>
      </c>
      <c r="G21">
        <v>2</v>
      </c>
      <c r="H21">
        <f t="shared" si="0"/>
        <v>3</v>
      </c>
    </row>
    <row r="22" spans="1:8" x14ac:dyDescent="0.2">
      <c r="A22" s="13">
        <v>18</v>
      </c>
      <c r="B22" s="14">
        <f>EDATE( Model!B$5, 3 * ( A22 - 1 ) * Model!B$8 )</f>
        <v>46935</v>
      </c>
      <c r="C22" s="14">
        <f>EDATE( Model!B$5, 3 * ( A22 ) * Model!B$8 )</f>
        <v>47119</v>
      </c>
      <c r="D22" s="16"/>
      <c r="F22">
        <v>1</v>
      </c>
      <c r="G22">
        <v>2</v>
      </c>
      <c r="H22">
        <f t="shared" si="0"/>
        <v>3</v>
      </c>
    </row>
    <row r="23" spans="1:8" x14ac:dyDescent="0.2">
      <c r="A23" s="13">
        <v>19</v>
      </c>
      <c r="B23" s="14">
        <f>EDATE( Model!B$5, 3 * ( A23 - 1 ) * Model!B$8 )</f>
        <v>47119</v>
      </c>
      <c r="C23" s="14">
        <f>EDATE( Model!B$5, 3 * ( A23 ) * Model!B$8 )</f>
        <v>47300</v>
      </c>
      <c r="D23" s="16"/>
      <c r="F23">
        <v>1</v>
      </c>
      <c r="G23">
        <v>2</v>
      </c>
      <c r="H23">
        <f t="shared" si="0"/>
        <v>3</v>
      </c>
    </row>
    <row r="24" spans="1:8" x14ac:dyDescent="0.2">
      <c r="A24" s="13">
        <v>20</v>
      </c>
      <c r="B24" s="14">
        <f>EDATE( Model!B$5, 3 * ( A24 - 1 ) * Model!B$8 )</f>
        <v>47300</v>
      </c>
      <c r="C24" s="14">
        <f>EDATE( Model!B$5, 3 * ( A24 ) * Model!B$8 )</f>
        <v>47484</v>
      </c>
      <c r="D24" s="16"/>
      <c r="F24">
        <v>0</v>
      </c>
      <c r="G24">
        <v>3</v>
      </c>
      <c r="H24">
        <f t="shared" si="0"/>
        <v>3</v>
      </c>
    </row>
    <row r="25" spans="1:8" x14ac:dyDescent="0.2">
      <c r="A25" s="13">
        <v>21</v>
      </c>
      <c r="B25" s="14">
        <f>EDATE( Model!B$5, 3 * ( A25 - 1 ) * Model!B$8 )</f>
        <v>47484</v>
      </c>
      <c r="C25" s="14">
        <f>EDATE( Model!B$5, 3 * ( A25 ) * Model!B$8 )</f>
        <v>47665</v>
      </c>
      <c r="D25" s="16"/>
      <c r="F25">
        <v>0</v>
      </c>
      <c r="G25">
        <v>3</v>
      </c>
      <c r="H25">
        <f t="shared" si="0"/>
        <v>3</v>
      </c>
    </row>
    <row r="26" spans="1:8" x14ac:dyDescent="0.2">
      <c r="A26" s="13">
        <v>22</v>
      </c>
      <c r="B26" s="14">
        <f>EDATE( Model!B$5, 3 * ( A26 - 1 ) * Model!B$8 )</f>
        <v>47665</v>
      </c>
      <c r="C26" s="14">
        <f>EDATE( Model!B$5, 3 * ( A26 ) * Model!B$8 )</f>
        <v>47849</v>
      </c>
      <c r="D26" s="16"/>
      <c r="F26">
        <v>0</v>
      </c>
      <c r="G26">
        <v>3</v>
      </c>
      <c r="H26">
        <f t="shared" si="0"/>
        <v>3</v>
      </c>
    </row>
    <row r="27" spans="1:8" x14ac:dyDescent="0.2">
      <c r="A27" s="13">
        <v>23</v>
      </c>
      <c r="B27" s="14">
        <f>EDATE( Model!B$5, 3 * ( A27 - 1 ) * Model!B$8 )</f>
        <v>47849</v>
      </c>
      <c r="C27" s="14">
        <f>EDATE( Model!B$5, 3 * ( A27 ) * Model!B$8 )</f>
        <v>48030</v>
      </c>
      <c r="D27" s="16"/>
      <c r="F27">
        <v>0</v>
      </c>
      <c r="G27">
        <v>3</v>
      </c>
      <c r="H27">
        <f t="shared" si="0"/>
        <v>3</v>
      </c>
    </row>
    <row r="28" spans="1:8" x14ac:dyDescent="0.2">
      <c r="A28" s="13">
        <v>24</v>
      </c>
      <c r="B28" s="14">
        <f>EDATE( Model!B$5, 3 * ( A28 - 1 ) * Model!B$8 )</f>
        <v>48030</v>
      </c>
      <c r="C28" s="14">
        <f>EDATE( Model!B$5, 3 * ( A28 ) * Model!B$8 )</f>
        <v>48214</v>
      </c>
      <c r="D28" s="16"/>
      <c r="F28">
        <v>0</v>
      </c>
      <c r="G28">
        <v>3</v>
      </c>
      <c r="H28">
        <f t="shared" si="0"/>
        <v>3</v>
      </c>
    </row>
    <row r="29" spans="1:8" x14ac:dyDescent="0.2">
      <c r="A29" s="13">
        <v>25</v>
      </c>
      <c r="B29" s="14">
        <f>EDATE( Model!B$5, 3 * ( A29 - 1 ) * Model!B$8 )</f>
        <v>48214</v>
      </c>
      <c r="C29" s="14">
        <f>EDATE( Model!B$5, 3 * ( A29 ) * Model!B$8 )</f>
        <v>48396</v>
      </c>
      <c r="D29" s="16"/>
      <c r="F29">
        <v>0</v>
      </c>
      <c r="G29">
        <v>4</v>
      </c>
      <c r="H29">
        <f t="shared" si="0"/>
        <v>4</v>
      </c>
    </row>
    <row r="30" spans="1:8" x14ac:dyDescent="0.2">
      <c r="A30" s="13">
        <v>26</v>
      </c>
      <c r="B30" s="14">
        <f>EDATE( Model!B$5, 3 * ( A30 - 1 ) * Model!B$8 )</f>
        <v>48396</v>
      </c>
      <c r="C30" s="14">
        <f>EDATE( Model!B$5, 3 * ( A30 ) * Model!B$8 )</f>
        <v>48580</v>
      </c>
      <c r="D30" s="16"/>
      <c r="F30">
        <v>0</v>
      </c>
      <c r="G30">
        <v>4</v>
      </c>
      <c r="H30">
        <f t="shared" si="0"/>
        <v>4</v>
      </c>
    </row>
    <row r="31" spans="1:8" x14ac:dyDescent="0.2">
      <c r="A31" s="13">
        <v>27</v>
      </c>
      <c r="B31" s="14">
        <f>EDATE( Model!B$5, 3 * ( A31 - 1 ) * Model!B$8 )</f>
        <v>48580</v>
      </c>
      <c r="C31" s="14">
        <f>EDATE( Model!B$5, 3 * ( A31 ) * Model!B$8 )</f>
        <v>48761</v>
      </c>
      <c r="D31" s="16"/>
      <c r="F31">
        <v>0</v>
      </c>
      <c r="G31">
        <v>4</v>
      </c>
      <c r="H31">
        <f t="shared" si="0"/>
        <v>4</v>
      </c>
    </row>
    <row r="32" spans="1:8" x14ac:dyDescent="0.2">
      <c r="A32" s="13">
        <v>28</v>
      </c>
      <c r="B32" s="14">
        <f>EDATE( Model!B$5, 3 * ( A32 - 1 ) * Model!B$8 )</f>
        <v>48761</v>
      </c>
      <c r="C32" s="14">
        <f>EDATE( Model!B$5, 3 * ( A32 ) * Model!B$8 )</f>
        <v>48945</v>
      </c>
      <c r="D32" s="16"/>
      <c r="F32">
        <v>0</v>
      </c>
      <c r="G32">
        <v>4</v>
      </c>
      <c r="H32">
        <f t="shared" si="0"/>
        <v>4</v>
      </c>
    </row>
    <row r="33" spans="1:8" x14ac:dyDescent="0.2">
      <c r="A33" s="13">
        <v>29</v>
      </c>
      <c r="B33" s="14">
        <f>EDATE( Model!B$5, 3 * ( A33 - 1 ) * Model!B$8 )</f>
        <v>48945</v>
      </c>
      <c r="C33" s="14">
        <f>EDATE( Model!B$5, 3 * ( A33 ) * Model!B$8 )</f>
        <v>49126</v>
      </c>
      <c r="D33" s="16"/>
      <c r="F33">
        <v>0</v>
      </c>
      <c r="G33">
        <v>5</v>
      </c>
      <c r="H33">
        <f t="shared" si="0"/>
        <v>5</v>
      </c>
    </row>
    <row r="34" spans="1:8" x14ac:dyDescent="0.2">
      <c r="A34" s="13">
        <v>30</v>
      </c>
      <c r="B34" s="14">
        <f>EDATE( Model!B$5, 3 * ( A34 - 1 ) * Model!B$8 )</f>
        <v>49126</v>
      </c>
      <c r="C34" s="14">
        <f>EDATE( Model!B$5, 3 * ( A34 ) * Model!B$8 )</f>
        <v>49310</v>
      </c>
      <c r="D34" s="16"/>
      <c r="F34">
        <v>0</v>
      </c>
      <c r="G34">
        <v>5</v>
      </c>
      <c r="H34">
        <f t="shared" si="0"/>
        <v>5</v>
      </c>
    </row>
    <row r="35" spans="1:8" x14ac:dyDescent="0.2">
      <c r="A35" s="13">
        <v>31</v>
      </c>
      <c r="B35" s="14">
        <f>EDATE( Model!B$5, 3 * ( A35 - 1 ) * Model!B$8 )</f>
        <v>49310</v>
      </c>
      <c r="C35" s="14">
        <f>EDATE( Model!B$5, 3 * ( A35 ) * Model!B$8 )</f>
        <v>49491</v>
      </c>
      <c r="D35" s="16"/>
      <c r="F35">
        <v>0</v>
      </c>
      <c r="G35">
        <v>5</v>
      </c>
      <c r="H35">
        <f t="shared" si="0"/>
        <v>5</v>
      </c>
    </row>
    <row r="36" spans="1:8" x14ac:dyDescent="0.2">
      <c r="A36" s="13">
        <v>32</v>
      </c>
      <c r="B36" s="14">
        <f>EDATE( Model!B$5, 3 * ( A36 - 1 ) * Model!B$8 )</f>
        <v>49491</v>
      </c>
      <c r="C36" s="14">
        <f>EDATE( Model!B$5, 3 * ( A36 ) * Model!B$8 )</f>
        <v>49675</v>
      </c>
      <c r="D36" s="16"/>
      <c r="F36">
        <v>0</v>
      </c>
      <c r="G36">
        <v>6</v>
      </c>
      <c r="H36">
        <f t="shared" si="0"/>
        <v>6</v>
      </c>
    </row>
    <row r="37" spans="1:8" x14ac:dyDescent="0.2">
      <c r="A37" s="13">
        <v>33</v>
      </c>
      <c r="B37" s="14">
        <f>EDATE( Model!B$5, 3 * ( A37 - 1 ) * Model!B$8 )</f>
        <v>49675</v>
      </c>
      <c r="C37" s="14">
        <f>EDATE( Model!B$5, 3 * ( A37 ) * Model!B$8 )</f>
        <v>49857</v>
      </c>
      <c r="D37" s="16"/>
      <c r="F37">
        <v>0</v>
      </c>
      <c r="G37">
        <v>6</v>
      </c>
      <c r="H37">
        <f t="shared" si="0"/>
        <v>6</v>
      </c>
    </row>
    <row r="38" spans="1:8" x14ac:dyDescent="0.2">
      <c r="A38" s="13">
        <v>34</v>
      </c>
      <c r="B38" s="14">
        <f>EDATE( Model!B$5, 3 * ( A38 - 1 ) * Model!B$8 )</f>
        <v>49857</v>
      </c>
      <c r="C38" s="14">
        <f>EDATE( Model!B$5, 3 * ( A38 ) * Model!B$8 )</f>
        <v>50041</v>
      </c>
      <c r="D38" s="16"/>
      <c r="F38">
        <v>0</v>
      </c>
      <c r="G38">
        <v>6</v>
      </c>
      <c r="H38">
        <f t="shared" si="0"/>
        <v>6</v>
      </c>
    </row>
    <row r="39" spans="1:8" x14ac:dyDescent="0.2">
      <c r="A39" s="13">
        <v>35</v>
      </c>
      <c r="B39" s="14">
        <f>EDATE( Model!B$5, 3 * ( A39 - 1 ) * Model!B$8 )</f>
        <v>50041</v>
      </c>
      <c r="C39" s="14">
        <f>EDATE( Model!B$5, 3 * ( A39 ) * Model!B$8 )</f>
        <v>50222</v>
      </c>
      <c r="D39" s="16"/>
      <c r="F39">
        <v>0</v>
      </c>
      <c r="G39">
        <v>7</v>
      </c>
      <c r="H39">
        <f t="shared" si="0"/>
        <v>7</v>
      </c>
    </row>
    <row r="40" spans="1:8" x14ac:dyDescent="0.2">
      <c r="A40" s="13">
        <v>36</v>
      </c>
      <c r="B40" s="14">
        <f>EDATE( Model!B$5, 3 * ( A40 - 1 ) * Model!B$8 )</f>
        <v>50222</v>
      </c>
      <c r="C40" s="14">
        <f>EDATE( Model!B$5, 3 * ( A40 ) * Model!B$8 )</f>
        <v>50406</v>
      </c>
      <c r="D40" s="16"/>
      <c r="F40">
        <v>0</v>
      </c>
      <c r="G40">
        <v>7</v>
      </c>
      <c r="H40">
        <f t="shared" si="0"/>
        <v>7</v>
      </c>
    </row>
    <row r="41" spans="1:8" x14ac:dyDescent="0.2">
      <c r="A41" s="13">
        <v>37</v>
      </c>
      <c r="B41" s="14">
        <f>EDATE( Model!B$5, 3 * ( A41 - 1 ) * Model!B$8 )</f>
        <v>50406</v>
      </c>
      <c r="C41" s="14">
        <f>EDATE( Model!B$5, 3 * ( A41 ) * Model!B$8 )</f>
        <v>50587</v>
      </c>
      <c r="D41" s="16"/>
      <c r="F41">
        <v>0</v>
      </c>
      <c r="G41">
        <v>7</v>
      </c>
      <c r="H41">
        <f t="shared" si="0"/>
        <v>7</v>
      </c>
    </row>
    <row r="42" spans="1:8" x14ac:dyDescent="0.2">
      <c r="A42" s="13">
        <v>38</v>
      </c>
      <c r="B42" s="14">
        <f>EDATE( Model!B$5, 3 * ( A42 - 1 ) * Model!B$8 )</f>
        <v>50587</v>
      </c>
      <c r="C42" s="14">
        <f>EDATE( Model!B$5, 3 * ( A42 ) * Model!B$8 )</f>
        <v>50771</v>
      </c>
      <c r="D42" s="16"/>
      <c r="F42">
        <v>0</v>
      </c>
      <c r="G42">
        <v>8</v>
      </c>
      <c r="H42">
        <f t="shared" si="0"/>
        <v>8</v>
      </c>
    </row>
    <row r="43" spans="1:8" x14ac:dyDescent="0.2">
      <c r="A43" s="13">
        <v>39</v>
      </c>
      <c r="B43" s="14">
        <f>EDATE( Model!B$5, 3 * ( A43 - 1 ) * Model!B$8 )</f>
        <v>50771</v>
      </c>
      <c r="C43" s="14">
        <f>EDATE( Model!B$5, 3 * ( A43 ) * Model!B$8 )</f>
        <v>50952</v>
      </c>
      <c r="D43" s="16"/>
      <c r="F43">
        <v>0</v>
      </c>
      <c r="G43">
        <v>8</v>
      </c>
      <c r="H43">
        <f t="shared" si="0"/>
        <v>8</v>
      </c>
    </row>
    <row r="44" spans="1:8" x14ac:dyDescent="0.2">
      <c r="A44" s="13">
        <v>40</v>
      </c>
      <c r="B44" s="14">
        <f>EDATE( Model!B$5, 3 * ( A44 - 1 ) * Model!B$8 )</f>
        <v>50952</v>
      </c>
      <c r="C44" s="14">
        <f>EDATE( Model!B$5, 3 * ( A44 ) * Model!B$8 )</f>
        <v>51136</v>
      </c>
      <c r="D44" s="16"/>
      <c r="F44">
        <v>0</v>
      </c>
      <c r="G44">
        <v>8</v>
      </c>
      <c r="H44">
        <f t="shared" si="0"/>
        <v>8</v>
      </c>
    </row>
    <row r="45" spans="1:8" x14ac:dyDescent="0.2">
      <c r="A45" s="13">
        <v>41</v>
      </c>
      <c r="B45" s="14">
        <f>EDATE( Model!B$5, 3 * ( A45 - 1 ) * Model!B$8 )</f>
        <v>51136</v>
      </c>
      <c r="C45" s="14">
        <f>EDATE( Model!B$5, 3 * ( A45 ) * Model!B$8 )</f>
        <v>51318</v>
      </c>
      <c r="D45" s="16"/>
      <c r="F45">
        <v>0</v>
      </c>
      <c r="G45">
        <v>8</v>
      </c>
      <c r="H45">
        <f t="shared" ref="H45:H61" si="1">F45+G45</f>
        <v>8</v>
      </c>
    </row>
    <row r="46" spans="1:8" x14ac:dyDescent="0.2">
      <c r="A46" s="13">
        <v>42</v>
      </c>
      <c r="B46" s="14">
        <f>EDATE( Model!B$5, 3 * ( A46 - 1 ) * Model!B$8 )</f>
        <v>51318</v>
      </c>
      <c r="C46" s="14">
        <f>EDATE( Model!B$5, 3 * ( A46 ) * Model!B$8 )</f>
        <v>51502</v>
      </c>
      <c r="D46" s="16"/>
      <c r="F46">
        <v>0</v>
      </c>
      <c r="G46">
        <v>8</v>
      </c>
      <c r="H46">
        <f t="shared" si="1"/>
        <v>8</v>
      </c>
    </row>
    <row r="47" spans="1:8" x14ac:dyDescent="0.2">
      <c r="A47" s="13">
        <v>43</v>
      </c>
      <c r="B47" s="14">
        <f>EDATE( Model!B$5, 3 * ( A47 - 1 ) * Model!B$8 )</f>
        <v>51502</v>
      </c>
      <c r="C47" s="14">
        <f>EDATE( Model!B$5, 3 * ( A47 ) * Model!B$8 )</f>
        <v>51683</v>
      </c>
      <c r="D47" s="16"/>
      <c r="F47">
        <v>0</v>
      </c>
      <c r="G47">
        <v>8</v>
      </c>
      <c r="H47">
        <f t="shared" si="1"/>
        <v>8</v>
      </c>
    </row>
    <row r="48" spans="1:8" x14ac:dyDescent="0.2">
      <c r="A48" s="13">
        <v>44</v>
      </c>
      <c r="B48" s="14">
        <f>EDATE( Model!B$5, 3 * ( A48 - 1 ) * Model!B$8 )</f>
        <v>51683</v>
      </c>
      <c r="C48" s="14">
        <f>EDATE( Model!B$5, 3 * ( A48 ) * Model!B$8 )</f>
        <v>51867</v>
      </c>
      <c r="D48" s="16"/>
      <c r="F48">
        <v>0</v>
      </c>
      <c r="G48">
        <v>8</v>
      </c>
      <c r="H48">
        <f t="shared" si="1"/>
        <v>8</v>
      </c>
    </row>
    <row r="49" spans="1:8" x14ac:dyDescent="0.2">
      <c r="A49" s="13">
        <v>45</v>
      </c>
      <c r="B49" s="14">
        <f>EDATE( Model!B$5, 3 * ( A49 - 1 ) * Model!B$8 )</f>
        <v>51867</v>
      </c>
      <c r="C49" s="14">
        <f>EDATE( Model!B$5, 3 * ( A49 ) * Model!B$8 )</f>
        <v>52048</v>
      </c>
      <c r="D49" s="16"/>
      <c r="F49">
        <v>0</v>
      </c>
      <c r="G49">
        <v>8</v>
      </c>
      <c r="H49">
        <f t="shared" si="1"/>
        <v>8</v>
      </c>
    </row>
    <row r="50" spans="1:8" x14ac:dyDescent="0.2">
      <c r="A50" s="13">
        <v>46</v>
      </c>
      <c r="B50" s="14">
        <f>EDATE( Model!B$5, 3 * ( A50 - 1 ) * Model!B$8 )</f>
        <v>52048</v>
      </c>
      <c r="C50" s="14">
        <f>EDATE( Model!B$5, 3 * ( A50 ) * Model!B$8 )</f>
        <v>52232</v>
      </c>
      <c r="D50" s="16"/>
      <c r="F50">
        <v>0</v>
      </c>
      <c r="G50">
        <v>8</v>
      </c>
      <c r="H50">
        <f t="shared" si="1"/>
        <v>8</v>
      </c>
    </row>
    <row r="51" spans="1:8" x14ac:dyDescent="0.2">
      <c r="A51" s="13">
        <v>47</v>
      </c>
      <c r="B51" s="14">
        <f>EDATE( Model!B$5, 3 * ( A51 - 1 ) * Model!B$8 )</f>
        <v>52232</v>
      </c>
      <c r="C51" s="14">
        <f>EDATE( Model!B$5, 3 * ( A51 ) * Model!B$8 )</f>
        <v>52413</v>
      </c>
      <c r="D51" s="16"/>
      <c r="F51">
        <v>0</v>
      </c>
      <c r="G51">
        <v>8</v>
      </c>
      <c r="H51">
        <f t="shared" si="1"/>
        <v>8</v>
      </c>
    </row>
    <row r="52" spans="1:8" x14ac:dyDescent="0.2">
      <c r="A52" s="13">
        <v>48</v>
      </c>
      <c r="B52" s="14">
        <f>EDATE( Model!B$5, 3 * ( A52 - 1 ) * Model!B$8 )</f>
        <v>52413</v>
      </c>
      <c r="C52" s="14">
        <f>EDATE( Model!B$5, 3 * ( A52 ) * Model!B$8 )</f>
        <v>52597</v>
      </c>
      <c r="D52" s="16"/>
      <c r="F52">
        <v>0</v>
      </c>
      <c r="G52">
        <v>8</v>
      </c>
      <c r="H52">
        <f t="shared" si="1"/>
        <v>8</v>
      </c>
    </row>
    <row r="53" spans="1:8" x14ac:dyDescent="0.2">
      <c r="A53" s="13">
        <v>49</v>
      </c>
      <c r="B53" s="14">
        <f>EDATE( Model!B$5, 3 * ( A53 - 1 ) * Model!B$8 )</f>
        <v>52597</v>
      </c>
      <c r="C53" s="14">
        <f>EDATE( Model!B$5, 3 * ( A53 ) * Model!B$8 )</f>
        <v>52779</v>
      </c>
      <c r="D53" s="16"/>
      <c r="F53">
        <v>0</v>
      </c>
      <c r="G53">
        <v>8</v>
      </c>
      <c r="H53">
        <f t="shared" si="1"/>
        <v>8</v>
      </c>
    </row>
    <row r="54" spans="1:8" x14ac:dyDescent="0.2">
      <c r="A54" s="13">
        <v>50</v>
      </c>
      <c r="B54" s="14">
        <f>EDATE( Model!B$5, 3 * ( A54 - 1 ) * Model!B$8 )</f>
        <v>52779</v>
      </c>
      <c r="C54" s="14">
        <f>EDATE( Model!B$5, 3 * ( A54 ) * Model!B$8 )</f>
        <v>52963</v>
      </c>
      <c r="D54" s="16"/>
      <c r="F54">
        <v>0</v>
      </c>
      <c r="G54">
        <v>8</v>
      </c>
      <c r="H54">
        <f t="shared" si="1"/>
        <v>8</v>
      </c>
    </row>
    <row r="55" spans="1:8" x14ac:dyDescent="0.2">
      <c r="A55" s="13">
        <v>51</v>
      </c>
      <c r="B55" s="14">
        <f>EDATE( Model!B$5, 3 * ( A55 - 1 ) * Model!B$8 )</f>
        <v>52963</v>
      </c>
      <c r="C55" s="14">
        <f>EDATE( Model!B$5, 3 * ( A55 ) * Model!B$8 )</f>
        <v>53144</v>
      </c>
      <c r="D55" s="16"/>
      <c r="F55">
        <v>0</v>
      </c>
      <c r="G55">
        <v>8</v>
      </c>
      <c r="H55">
        <f t="shared" si="1"/>
        <v>8</v>
      </c>
    </row>
    <row r="56" spans="1:8" x14ac:dyDescent="0.2">
      <c r="A56" s="13">
        <v>52</v>
      </c>
      <c r="B56" s="14">
        <f>EDATE( Model!B$5, 3 * ( A56 - 1 ) * Model!B$8 )</f>
        <v>53144</v>
      </c>
      <c r="C56" s="14">
        <f>EDATE( Model!B$5, 3 * ( A56 ) * Model!B$8 )</f>
        <v>53328</v>
      </c>
      <c r="D56" s="16"/>
      <c r="F56">
        <v>0</v>
      </c>
      <c r="G56">
        <v>8</v>
      </c>
      <c r="H56">
        <f t="shared" si="1"/>
        <v>8</v>
      </c>
    </row>
    <row r="57" spans="1:8" x14ac:dyDescent="0.2">
      <c r="A57" s="13">
        <v>53</v>
      </c>
      <c r="B57" s="14">
        <f>EDATE( Model!B$5, 3 * ( A57 - 1 ) * Model!B$8 )</f>
        <v>53328</v>
      </c>
      <c r="C57" s="14">
        <f>EDATE( Model!B$5, 3 * ( A57 ) * Model!B$8 )</f>
        <v>53509</v>
      </c>
      <c r="D57" s="16"/>
      <c r="F57">
        <v>0</v>
      </c>
      <c r="G57">
        <v>8</v>
      </c>
      <c r="H57">
        <f t="shared" si="1"/>
        <v>8</v>
      </c>
    </row>
    <row r="58" spans="1:8" x14ac:dyDescent="0.2">
      <c r="A58" s="13">
        <v>54</v>
      </c>
      <c r="B58" s="14">
        <f>EDATE( Model!B$5, 3 * ( A58 - 1 ) * Model!B$8 )</f>
        <v>53509</v>
      </c>
      <c r="C58" s="14">
        <f>EDATE( Model!B$5, 3 * ( A58 ) * Model!B$8 )</f>
        <v>53693</v>
      </c>
      <c r="D58" s="16"/>
      <c r="F58">
        <v>0</v>
      </c>
      <c r="G58">
        <v>8</v>
      </c>
      <c r="H58">
        <f t="shared" si="1"/>
        <v>8</v>
      </c>
    </row>
    <row r="59" spans="1:8" x14ac:dyDescent="0.2">
      <c r="A59" s="13">
        <v>55</v>
      </c>
      <c r="B59" s="14">
        <f>EDATE( Model!B$5, 3 * ( A59 - 1 ) * Model!B$8 )</f>
        <v>53693</v>
      </c>
      <c r="C59" s="14">
        <f>EDATE( Model!B$5, 3 * ( A59 ) * Model!B$8 )</f>
        <v>53874</v>
      </c>
      <c r="D59" s="16"/>
      <c r="F59">
        <v>0</v>
      </c>
      <c r="G59">
        <v>8</v>
      </c>
      <c r="H59">
        <f t="shared" si="1"/>
        <v>8</v>
      </c>
    </row>
    <row r="60" spans="1:8" x14ac:dyDescent="0.2">
      <c r="A60" s="13">
        <v>56</v>
      </c>
      <c r="B60" s="14">
        <f>EDATE( Model!B$5, 3 * ( A60 - 1 ) * Model!B$8 )</f>
        <v>53874</v>
      </c>
      <c r="C60" s="14">
        <f>EDATE( Model!B$5, 3 * ( A60 ) * Model!B$8 )</f>
        <v>54058</v>
      </c>
      <c r="D60" s="16"/>
      <c r="F60">
        <v>0</v>
      </c>
      <c r="G60">
        <v>8</v>
      </c>
      <c r="H60">
        <f t="shared" si="1"/>
        <v>8</v>
      </c>
    </row>
    <row r="61" spans="1:8" x14ac:dyDescent="0.2">
      <c r="A61" s="13">
        <v>57</v>
      </c>
      <c r="B61" s="14">
        <f>EDATE( Model!B$5, 3 * ( A61 - 1 ) * Model!B$8 )</f>
        <v>54058</v>
      </c>
      <c r="C61" s="14">
        <f>EDATE( Model!B$5, 3 * ( A61 ) * Model!B$8 )</f>
        <v>54240</v>
      </c>
      <c r="D61" s="16"/>
      <c r="F61">
        <v>0</v>
      </c>
      <c r="G61">
        <v>8</v>
      </c>
      <c r="H61">
        <f t="shared" si="1"/>
        <v>8</v>
      </c>
    </row>
    <row r="62" spans="1:8" x14ac:dyDescent="0.2">
      <c r="A62" s="13">
        <v>58</v>
      </c>
      <c r="B62" s="14">
        <f>EDATE( Model!B$5, 3 * ( A62 - 1 ) * Model!B$8 )</f>
        <v>54240</v>
      </c>
      <c r="C62" s="14">
        <f>EDATE( Model!B$5, 3 * ( A62 ) * Model!B$8 )</f>
        <v>54424</v>
      </c>
      <c r="D62" s="16"/>
      <c r="F62">
        <v>0</v>
      </c>
      <c r="G62">
        <v>8</v>
      </c>
      <c r="H62">
        <f t="shared" ref="H62:H64" si="2">F62+G62</f>
        <v>8</v>
      </c>
    </row>
    <row r="63" spans="1:8" x14ac:dyDescent="0.2">
      <c r="A63" s="13">
        <v>59</v>
      </c>
      <c r="B63" s="14">
        <f>EDATE( Model!B$5, 3 * ( A63 - 1 ) * Model!B$8 )</f>
        <v>54424</v>
      </c>
      <c r="C63" s="14">
        <f>EDATE( Model!B$5, 3 * ( A63 ) * Model!B$8 )</f>
        <v>54605</v>
      </c>
      <c r="D63" s="16"/>
      <c r="F63">
        <v>0</v>
      </c>
      <c r="G63">
        <v>8</v>
      </c>
      <c r="H63">
        <f t="shared" si="2"/>
        <v>8</v>
      </c>
    </row>
    <row r="64" spans="1:8" x14ac:dyDescent="0.2">
      <c r="A64" s="13">
        <v>60</v>
      </c>
      <c r="B64" s="14">
        <f>EDATE( Model!B$5, 3 * ( A64 - 1 ) * Model!B$8 )</f>
        <v>54605</v>
      </c>
      <c r="C64" s="14">
        <f>EDATE( Model!B$5, 3 * ( A64 ) * Model!B$8 )</f>
        <v>54789</v>
      </c>
      <c r="D64" s="16"/>
      <c r="F64">
        <v>0</v>
      </c>
      <c r="G64">
        <v>8</v>
      </c>
      <c r="H64">
        <f t="shared" si="2"/>
        <v>8</v>
      </c>
    </row>
    <row r="65" spans="1:4" x14ac:dyDescent="0.2">
      <c r="A65" s="13">
        <v>61</v>
      </c>
      <c r="B65" s="14">
        <f>EDATE( Model!B$5, 3 * ( A65 - 1 ) * Model!B$8 )</f>
        <v>54789</v>
      </c>
      <c r="C65" s="14">
        <f>EDATE( Model!B$5, 3 * ( A65 ) * Model!B$8 )</f>
        <v>54970</v>
      </c>
      <c r="D65" s="16"/>
    </row>
    <row r="66" spans="1:4" x14ac:dyDescent="0.2">
      <c r="A66" s="13">
        <v>62</v>
      </c>
      <c r="B66" s="14">
        <f>EDATE( Model!B$5, 3 * ( A66 - 1 ) * Model!B$8 )</f>
        <v>54970</v>
      </c>
      <c r="C66" s="14">
        <f>EDATE( Model!B$5, 3 * ( A66 ) * Model!B$8 )</f>
        <v>55154</v>
      </c>
      <c r="D66" s="16"/>
    </row>
    <row r="67" spans="1:4" x14ac:dyDescent="0.2">
      <c r="A67" s="13">
        <v>63</v>
      </c>
      <c r="B67" s="14">
        <f>EDATE( Model!B$5, 3 * ( A67 - 1 ) * Model!B$8 )</f>
        <v>55154</v>
      </c>
      <c r="C67" s="14">
        <f>EDATE( Model!B$5, 3 * ( A67 ) * Model!B$8 )</f>
        <v>55335</v>
      </c>
      <c r="D67" s="16"/>
    </row>
    <row r="68" spans="1:4" x14ac:dyDescent="0.2">
      <c r="A68" s="13">
        <v>64</v>
      </c>
      <c r="B68" s="14">
        <f>EDATE( Model!B$5, 3 * ( A68 - 1 ) * Model!B$8 )</f>
        <v>55335</v>
      </c>
      <c r="C68" s="14">
        <f>EDATE( Model!B$5, 3 * ( A68 ) * Model!B$8 )</f>
        <v>55519</v>
      </c>
      <c r="D68" s="16"/>
    </row>
    <row r="69" spans="1:4" x14ac:dyDescent="0.2">
      <c r="A69" s="13">
        <v>65</v>
      </c>
      <c r="B69" s="14">
        <f>EDATE( Model!B$5, 3 * ( A69 - 1 ) * Model!B$8 )</f>
        <v>55519</v>
      </c>
      <c r="C69" s="14">
        <f>EDATE( Model!B$5, 3 * ( A69 ) * Model!B$8 )</f>
        <v>55701</v>
      </c>
      <c r="D69" s="16"/>
    </row>
    <row r="70" spans="1:4" x14ac:dyDescent="0.2">
      <c r="A70" s="13">
        <v>66</v>
      </c>
      <c r="B70" s="14">
        <f>EDATE( Model!B$5, 3 * ( A70 - 1 ) * Model!B$8 )</f>
        <v>55701</v>
      </c>
      <c r="C70" s="14">
        <f>EDATE( Model!B$5, 3 * ( A70 ) * Model!B$8 )</f>
        <v>55885</v>
      </c>
      <c r="D70" s="16"/>
    </row>
    <row r="71" spans="1:4" x14ac:dyDescent="0.2">
      <c r="A71" s="13">
        <v>67</v>
      </c>
      <c r="B71" s="14">
        <f>EDATE( Model!B$5, 3 * ( A71 - 1 ) * Model!B$8 )</f>
        <v>55885</v>
      </c>
      <c r="C71" s="14">
        <f>EDATE( Model!B$5, 3 * ( A71 ) * Model!B$8 )</f>
        <v>56066</v>
      </c>
      <c r="D71" s="16"/>
    </row>
    <row r="72" spans="1:4" x14ac:dyDescent="0.2">
      <c r="A72" s="13">
        <v>68</v>
      </c>
      <c r="B72" s="14">
        <f>EDATE( Model!B$5, 3 * ( A72 - 1 ) * Model!B$8 )</f>
        <v>56066</v>
      </c>
      <c r="C72" s="14">
        <f>EDATE( Model!B$5, 3 * ( A72 ) * Model!B$8 )</f>
        <v>56250</v>
      </c>
      <c r="D72" s="16"/>
    </row>
    <row r="73" spans="1:4" x14ac:dyDescent="0.2">
      <c r="A73" s="13">
        <v>69</v>
      </c>
      <c r="B73" s="14">
        <f>EDATE( Model!B$5, 3 * ( A73 - 1 ) * Model!B$8 )</f>
        <v>56250</v>
      </c>
      <c r="C73" s="14">
        <f>EDATE( Model!B$5, 3 * ( A73 ) * Model!B$8 )</f>
        <v>56431</v>
      </c>
      <c r="D73" s="16"/>
    </row>
    <row r="74" spans="1:4" x14ac:dyDescent="0.2">
      <c r="A74" s="13">
        <v>70</v>
      </c>
      <c r="B74" s="14">
        <f>EDATE( Model!B$5, 3 * ( A74 - 1 ) * Model!B$8 )</f>
        <v>56431</v>
      </c>
      <c r="C74" s="14">
        <f>EDATE( Model!B$5, 3 * ( A74 ) * Model!B$8 )</f>
        <v>56615</v>
      </c>
      <c r="D74" s="16"/>
    </row>
    <row r="75" spans="1:4" x14ac:dyDescent="0.2">
      <c r="A75" s="13">
        <v>71</v>
      </c>
      <c r="B75" s="14">
        <f>EDATE( Model!B$5, 3 * ( A75 - 1 ) * Model!B$8 )</f>
        <v>56615</v>
      </c>
      <c r="C75" s="14">
        <f>EDATE( Model!B$5, 3 * ( A75 ) * Model!B$8 )</f>
        <v>56796</v>
      </c>
      <c r="D75" s="16"/>
    </row>
    <row r="76" spans="1:4" x14ac:dyDescent="0.2">
      <c r="A76" s="13">
        <v>72</v>
      </c>
      <c r="B76" s="14">
        <f>EDATE( Model!B$5, 3 * ( A76 - 1 ) * Model!B$8 )</f>
        <v>56796</v>
      </c>
      <c r="C76" s="14">
        <f>EDATE( Model!B$5, 3 * ( A76 ) * Model!B$8 )</f>
        <v>56980</v>
      </c>
      <c r="D76" s="16"/>
    </row>
    <row r="77" spans="1:4" x14ac:dyDescent="0.2">
      <c r="A77" s="13">
        <v>73</v>
      </c>
      <c r="B77" s="14">
        <f>EDATE( Model!B$5, 3 * ( A77 - 1 ) * Model!B$8 )</f>
        <v>56980</v>
      </c>
      <c r="C77" s="14">
        <f>EDATE( Model!B$5, 3 * ( A77 ) * Model!B$8 )</f>
        <v>57162</v>
      </c>
      <c r="D77" s="16"/>
    </row>
    <row r="78" spans="1:4" x14ac:dyDescent="0.2">
      <c r="A78" s="13">
        <v>74</v>
      </c>
      <c r="B78" s="14">
        <f>EDATE( Model!B$5, 3 * ( A78 - 1 ) * Model!B$8 )</f>
        <v>57162</v>
      </c>
      <c r="C78" s="14">
        <f>EDATE( Model!B$5, 3 * ( A78 ) * Model!B$8 )</f>
        <v>57346</v>
      </c>
      <c r="D78" s="16"/>
    </row>
    <row r="79" spans="1:4" x14ac:dyDescent="0.2">
      <c r="A79" s="13">
        <v>75</v>
      </c>
      <c r="B79" s="14">
        <f>EDATE( Model!B$5, 3 * ( A79 - 1 ) * Model!B$8 )</f>
        <v>57346</v>
      </c>
      <c r="C79" s="14">
        <f>EDATE( Model!B$5, 3 * ( A79 ) * Model!B$8 )</f>
        <v>57527</v>
      </c>
      <c r="D79" s="16"/>
    </row>
    <row r="80" spans="1:4" x14ac:dyDescent="0.2">
      <c r="A80" s="13">
        <v>76</v>
      </c>
      <c r="B80" s="14">
        <f>EDATE( Model!B$5, 3 * ( A80 - 1 ) * Model!B$8 )</f>
        <v>57527</v>
      </c>
      <c r="C80" s="14">
        <f>EDATE( Model!B$5, 3 * ( A80 ) * Model!B$8 )</f>
        <v>57711</v>
      </c>
      <c r="D80" s="16"/>
    </row>
    <row r="81" spans="1:4" x14ac:dyDescent="0.2">
      <c r="A81" s="13">
        <v>77</v>
      </c>
      <c r="B81" s="14">
        <f>EDATE( Model!B$5, 3 * ( A81 - 1 ) * Model!B$8 )</f>
        <v>57711</v>
      </c>
      <c r="C81" s="14">
        <f>EDATE( Model!B$5, 3 * ( A81 ) * Model!B$8 )</f>
        <v>57892</v>
      </c>
      <c r="D81" s="16"/>
    </row>
    <row r="82" spans="1:4" x14ac:dyDescent="0.2">
      <c r="A82" s="13">
        <v>78</v>
      </c>
      <c r="B82" s="14">
        <f>EDATE( Model!B$5, 3 * ( A82 - 1 ) * Model!B$8 )</f>
        <v>57892</v>
      </c>
      <c r="C82" s="14">
        <f>EDATE( Model!B$5, 3 * ( A82 ) * Model!B$8 )</f>
        <v>58076</v>
      </c>
      <c r="D82" s="16"/>
    </row>
    <row r="83" spans="1:4" x14ac:dyDescent="0.2">
      <c r="A83" s="13">
        <v>79</v>
      </c>
      <c r="B83" s="14">
        <f>EDATE( Model!B$5, 3 * ( A83 - 1 ) * Model!B$8 )</f>
        <v>58076</v>
      </c>
      <c r="C83" s="14">
        <f>EDATE( Model!B$5, 3 * ( A83 ) * Model!B$8 )</f>
        <v>58257</v>
      </c>
      <c r="D83" s="16"/>
    </row>
    <row r="84" spans="1:4" x14ac:dyDescent="0.2">
      <c r="A84" s="13">
        <v>80</v>
      </c>
      <c r="B84" s="14">
        <f>EDATE( Model!B$5, 3 * ( A84 - 1 ) * Model!B$8 )</f>
        <v>58257</v>
      </c>
      <c r="C84" s="14">
        <f>EDATE( Model!B$5, 3 * ( A84 ) * Model!B$8 )</f>
        <v>58441</v>
      </c>
      <c r="D84" s="16"/>
    </row>
    <row r="85" spans="1:4" x14ac:dyDescent="0.2">
      <c r="A85" s="13">
        <v>81</v>
      </c>
      <c r="B85" s="14">
        <f>EDATE( Model!B$5, 3 * ( A85 - 1 ) * Model!B$8 )</f>
        <v>58441</v>
      </c>
      <c r="C85" s="14">
        <f>EDATE( Model!B$5, 3 * ( A85 ) * Model!B$8 )</f>
        <v>58623</v>
      </c>
      <c r="D85" s="16"/>
    </row>
    <row r="86" spans="1:4" x14ac:dyDescent="0.2">
      <c r="A86" s="13">
        <v>82</v>
      </c>
      <c r="B86" s="14">
        <f>EDATE( Model!B$5, 3 * ( A86 - 1 ) * Model!B$8 )</f>
        <v>58623</v>
      </c>
      <c r="C86" s="14">
        <f>EDATE( Model!B$5, 3 * ( A86 ) * Model!B$8 )</f>
        <v>58807</v>
      </c>
      <c r="D86" s="16"/>
    </row>
    <row r="87" spans="1:4" x14ac:dyDescent="0.2">
      <c r="A87" s="13">
        <v>83</v>
      </c>
      <c r="B87" s="14">
        <f>EDATE( Model!B$5, 3 * ( A87 - 1 ) * Model!B$8 )</f>
        <v>58807</v>
      </c>
      <c r="C87" s="14">
        <f>EDATE( Model!B$5, 3 * ( A87 ) * Model!B$8 )</f>
        <v>58988</v>
      </c>
      <c r="D87" s="16"/>
    </row>
    <row r="88" spans="1:4" x14ac:dyDescent="0.2">
      <c r="A88" s="13">
        <v>84</v>
      </c>
      <c r="B88" s="14">
        <f>EDATE( Model!B$5, 3 * ( A88 - 1 ) * Model!B$8 )</f>
        <v>58988</v>
      </c>
      <c r="C88" s="14">
        <f>EDATE( Model!B$5, 3 * ( A88 ) * Model!B$8 )</f>
        <v>59172</v>
      </c>
      <c r="D88" s="16"/>
    </row>
    <row r="89" spans="1:4" x14ac:dyDescent="0.2">
      <c r="A89" s="13">
        <v>85</v>
      </c>
      <c r="B89" s="14">
        <f>EDATE( Model!B$5, 3 * ( A89 - 1 ) * Model!B$8 )</f>
        <v>59172</v>
      </c>
      <c r="C89" s="14">
        <f>EDATE( Model!B$5, 3 * ( A89 ) * Model!B$8 )</f>
        <v>59353</v>
      </c>
      <c r="D89" s="16"/>
    </row>
    <row r="90" spans="1:4" x14ac:dyDescent="0.2">
      <c r="A90" s="13">
        <v>86</v>
      </c>
      <c r="B90" s="14">
        <f>EDATE( Model!B$5, 3 * ( A90 - 1 ) * Model!B$8 )</f>
        <v>59353</v>
      </c>
      <c r="C90" s="14">
        <f>EDATE( Model!B$5, 3 * ( A90 ) * Model!B$8 )</f>
        <v>59537</v>
      </c>
      <c r="D90" s="16"/>
    </row>
    <row r="91" spans="1:4" x14ac:dyDescent="0.2">
      <c r="A91" s="13">
        <v>87</v>
      </c>
      <c r="B91" s="14">
        <f>EDATE( Model!B$5, 3 * ( A91 - 1 ) * Model!B$8 )</f>
        <v>59537</v>
      </c>
      <c r="C91" s="14">
        <f>EDATE( Model!B$5, 3 * ( A91 ) * Model!B$8 )</f>
        <v>59718</v>
      </c>
      <c r="D91" s="16"/>
    </row>
    <row r="92" spans="1:4" x14ac:dyDescent="0.2">
      <c r="A92" s="13">
        <v>88</v>
      </c>
      <c r="B92" s="14">
        <f>EDATE( Model!B$5, 3 * ( A92 - 1 ) * Model!B$8 )</f>
        <v>59718</v>
      </c>
      <c r="C92" s="14">
        <f>EDATE( Model!B$5, 3 * ( A92 ) * Model!B$8 )</f>
        <v>59902</v>
      </c>
      <c r="D92" s="16"/>
    </row>
    <row r="93" spans="1:4" x14ac:dyDescent="0.2">
      <c r="A93" s="13">
        <v>89</v>
      </c>
      <c r="B93" s="14">
        <f>EDATE( Model!B$5, 3 * ( A93 - 1 ) * Model!B$8 )</f>
        <v>59902</v>
      </c>
      <c r="C93" s="14">
        <f>EDATE( Model!B$5, 3 * ( A93 ) * Model!B$8 )</f>
        <v>60084</v>
      </c>
      <c r="D93" s="16"/>
    </row>
    <row r="94" spans="1:4" x14ac:dyDescent="0.2">
      <c r="A94" s="13">
        <v>90</v>
      </c>
      <c r="B94" s="14">
        <f>EDATE( Model!B$5, 3 * ( A94 - 1 ) * Model!B$8 )</f>
        <v>60084</v>
      </c>
      <c r="C94" s="14">
        <f>EDATE( Model!B$5, 3 * ( A94 ) * Model!B$8 )</f>
        <v>60268</v>
      </c>
      <c r="D94" s="16"/>
    </row>
    <row r="95" spans="1:4" x14ac:dyDescent="0.2">
      <c r="A95" s="13">
        <v>91</v>
      </c>
      <c r="B95" s="14">
        <f>EDATE( Model!B$5, 3 * ( A95 - 1 ) * Model!B$8 )</f>
        <v>60268</v>
      </c>
      <c r="C95" s="14">
        <f>EDATE( Model!B$5, 3 * ( A95 ) * Model!B$8 )</f>
        <v>60449</v>
      </c>
      <c r="D95" s="16"/>
    </row>
    <row r="96" spans="1:4" x14ac:dyDescent="0.2">
      <c r="A96" s="13">
        <v>92</v>
      </c>
      <c r="B96" s="14">
        <f>EDATE( Model!B$5, 3 * ( A96 - 1 ) * Model!B$8 )</f>
        <v>60449</v>
      </c>
      <c r="C96" s="14">
        <f>EDATE( Model!B$5, 3 * ( A96 ) * Model!B$8 )</f>
        <v>60633</v>
      </c>
      <c r="D96" s="16"/>
    </row>
    <row r="97" spans="1:4" x14ac:dyDescent="0.2">
      <c r="A97" s="13">
        <v>93</v>
      </c>
      <c r="B97" s="14">
        <f>EDATE( Model!B$5, 3 * ( A97 - 1 ) * Model!B$8 )</f>
        <v>60633</v>
      </c>
      <c r="C97" s="14">
        <f>EDATE( Model!B$5, 3 * ( A97 ) * Model!B$8 )</f>
        <v>60814</v>
      </c>
      <c r="D97" s="16"/>
    </row>
    <row r="98" spans="1:4" x14ac:dyDescent="0.2">
      <c r="A98" s="13">
        <v>94</v>
      </c>
      <c r="B98" s="14">
        <f>EDATE( Model!B$5, 3 * ( A98 - 1 ) * Model!B$8 )</f>
        <v>60814</v>
      </c>
      <c r="C98" s="14">
        <f>EDATE( Model!B$5, 3 * ( A98 ) * Model!B$8 )</f>
        <v>60998</v>
      </c>
      <c r="D98" s="16"/>
    </row>
    <row r="99" spans="1:4" x14ac:dyDescent="0.2">
      <c r="A99" s="13">
        <v>95</v>
      </c>
      <c r="B99" s="14">
        <f>EDATE( Model!B$5, 3 * ( A99 - 1 ) * Model!B$8 )</f>
        <v>60998</v>
      </c>
      <c r="C99" s="14">
        <f>EDATE( Model!B$5, 3 * ( A99 ) * Model!B$8 )</f>
        <v>61179</v>
      </c>
      <c r="D99" s="16"/>
    </row>
    <row r="100" spans="1:4" x14ac:dyDescent="0.2">
      <c r="A100" s="13">
        <v>96</v>
      </c>
      <c r="B100" s="14">
        <f>EDATE( Model!B$5, 3 * ( A100 - 1 ) * Model!B$8 )</f>
        <v>61179</v>
      </c>
      <c r="C100" s="14">
        <f>EDATE( Model!B$5, 3 * ( A100 ) * Model!B$8 )</f>
        <v>61363</v>
      </c>
      <c r="D100" s="16"/>
    </row>
    <row r="101" spans="1:4" x14ac:dyDescent="0.2">
      <c r="A101" s="13">
        <v>97</v>
      </c>
      <c r="B101" s="14">
        <f>EDATE( Model!B$5, 3 * ( A101 - 1 ) * Model!B$8 )</f>
        <v>61363</v>
      </c>
      <c r="C101" s="14">
        <f>EDATE( Model!B$5, 3 * ( A101 ) * Model!B$8 )</f>
        <v>61545</v>
      </c>
      <c r="D101" s="16"/>
    </row>
    <row r="102" spans="1:4" x14ac:dyDescent="0.2">
      <c r="A102" s="13">
        <v>98</v>
      </c>
      <c r="B102" s="14">
        <f>EDATE( Model!B$5, 3 * ( A102 - 1 ) * Model!B$8 )</f>
        <v>61545</v>
      </c>
      <c r="C102" s="14">
        <f>EDATE( Model!B$5, 3 * ( A102 ) * Model!B$8 )</f>
        <v>61729</v>
      </c>
      <c r="D102" s="16"/>
    </row>
    <row r="103" spans="1:4" x14ac:dyDescent="0.2">
      <c r="A103" s="13">
        <v>99</v>
      </c>
      <c r="B103" s="14">
        <f>EDATE( Model!B$5, 3 * ( A103 - 1 ) * Model!B$8 )</f>
        <v>61729</v>
      </c>
      <c r="C103" s="14">
        <f>EDATE( Model!B$5, 3 * ( A103 ) * Model!B$8 )</f>
        <v>61910</v>
      </c>
      <c r="D103" s="16"/>
    </row>
    <row r="104" spans="1:4" x14ac:dyDescent="0.2">
      <c r="A104" s="13">
        <v>100</v>
      </c>
      <c r="B104" s="14">
        <f>EDATE( Model!B$5, 3 * ( A104 - 1 ) * Model!B$8 )</f>
        <v>61910</v>
      </c>
      <c r="C104" s="14">
        <f>EDATE( Model!B$5, 3 * ( A104 ) * Model!B$8 )</f>
        <v>62094</v>
      </c>
      <c r="D104" s="16"/>
    </row>
    <row r="105" spans="1:4" x14ac:dyDescent="0.2">
      <c r="A105" s="13">
        <v>101</v>
      </c>
      <c r="B105" s="14">
        <f>EDATE( Model!B$5, 3 * ( A105 - 1 ) * Model!B$8 )</f>
        <v>62094</v>
      </c>
      <c r="C105" s="14">
        <f>EDATE( Model!B$5, 3 * ( A105 ) * Model!B$8 )</f>
        <v>62275</v>
      </c>
      <c r="D105" s="16"/>
    </row>
    <row r="106" spans="1:4" x14ac:dyDescent="0.2">
      <c r="A106" s="13">
        <v>102</v>
      </c>
      <c r="B106" s="14">
        <f>EDATE( Model!B$5, 3 * ( A106 - 1 ) * Model!B$8 )</f>
        <v>62275</v>
      </c>
      <c r="C106" s="14">
        <f>EDATE( Model!B$5, 3 * ( A106 ) * Model!B$8 )</f>
        <v>62459</v>
      </c>
      <c r="D106" s="16"/>
    </row>
    <row r="107" spans="1:4" x14ac:dyDescent="0.2">
      <c r="A107" s="13">
        <v>103</v>
      </c>
      <c r="B107" s="14">
        <f>EDATE( Model!B$5, 3 * ( A107 - 1 ) * Model!B$8 )</f>
        <v>62459</v>
      </c>
      <c r="C107" s="14">
        <f>EDATE( Model!B$5, 3 * ( A107 ) * Model!B$8 )</f>
        <v>62640</v>
      </c>
      <c r="D107" s="16"/>
    </row>
    <row r="108" spans="1:4" x14ac:dyDescent="0.2">
      <c r="A108" s="13">
        <v>104</v>
      </c>
      <c r="B108" s="14">
        <f>EDATE( Model!B$5, 3 * ( A108 - 1 ) * Model!B$8 )</f>
        <v>62640</v>
      </c>
      <c r="C108" s="14">
        <f>EDATE( Model!B$5, 3 * ( A108 ) * Model!B$8 )</f>
        <v>62824</v>
      </c>
      <c r="D108" s="16"/>
    </row>
    <row r="109" spans="1:4" x14ac:dyDescent="0.2">
      <c r="A109" s="13">
        <v>105</v>
      </c>
      <c r="B109" s="14">
        <f>EDATE( Model!B$5, 3 * ( A109 - 1 ) * Model!B$8 )</f>
        <v>62824</v>
      </c>
      <c r="C109" s="14">
        <f>EDATE( Model!B$5, 3 * ( A109 ) * Model!B$8 )</f>
        <v>63006</v>
      </c>
      <c r="D109" s="16"/>
    </row>
    <row r="110" spans="1:4" x14ac:dyDescent="0.2">
      <c r="A110" s="13">
        <v>106</v>
      </c>
      <c r="B110" s="14">
        <f>EDATE( Model!B$5, 3 * ( A110 - 1 ) * Model!B$8 )</f>
        <v>63006</v>
      </c>
      <c r="C110" s="14">
        <f>EDATE( Model!B$5, 3 * ( A110 ) * Model!B$8 )</f>
        <v>63190</v>
      </c>
      <c r="D110" s="16"/>
    </row>
    <row r="111" spans="1:4" x14ac:dyDescent="0.2">
      <c r="A111" s="13">
        <v>107</v>
      </c>
      <c r="B111" s="14">
        <f>EDATE( Model!B$5, 3 * ( A111 - 1 ) * Model!B$8 )</f>
        <v>63190</v>
      </c>
      <c r="C111" s="14">
        <f>EDATE( Model!B$5, 3 * ( A111 ) * Model!B$8 )</f>
        <v>63371</v>
      </c>
      <c r="D111" s="16"/>
    </row>
    <row r="112" spans="1:4" x14ac:dyDescent="0.2">
      <c r="A112" s="13">
        <v>108</v>
      </c>
      <c r="B112" s="14">
        <f>EDATE( Model!B$5, 3 * ( A112 - 1 ) * Model!B$8 )</f>
        <v>63371</v>
      </c>
      <c r="C112" s="14">
        <f>EDATE( Model!B$5, 3 * ( A112 ) * Model!B$8 )</f>
        <v>63555</v>
      </c>
      <c r="D112" s="16"/>
    </row>
    <row r="113" spans="1:4" x14ac:dyDescent="0.2">
      <c r="A113" s="13">
        <v>109</v>
      </c>
      <c r="B113" s="14">
        <f>EDATE( Model!B$5, 3 * ( A113 - 1 ) * Model!B$8 )</f>
        <v>63555</v>
      </c>
      <c r="C113" s="14">
        <f>EDATE( Model!B$5, 3 * ( A113 ) * Model!B$8 )</f>
        <v>63736</v>
      </c>
      <c r="D113" s="16"/>
    </row>
    <row r="114" spans="1:4" x14ac:dyDescent="0.2">
      <c r="A114" s="13">
        <v>110</v>
      </c>
      <c r="B114" s="14">
        <f>EDATE( Model!B$5, 3 * ( A114 - 1 ) * Model!B$8 )</f>
        <v>63736</v>
      </c>
      <c r="C114" s="14">
        <f>EDATE( Model!B$5, 3 * ( A114 ) * Model!B$8 )</f>
        <v>63920</v>
      </c>
      <c r="D114" s="16"/>
    </row>
    <row r="115" spans="1:4" x14ac:dyDescent="0.2">
      <c r="A115" s="13">
        <v>111</v>
      </c>
      <c r="B115" s="14">
        <f>EDATE( Model!B$5, 3 * ( A115 - 1 ) * Model!B$8 )</f>
        <v>63920</v>
      </c>
      <c r="C115" s="14">
        <f>EDATE( Model!B$5, 3 * ( A115 ) * Model!B$8 )</f>
        <v>64101</v>
      </c>
      <c r="D115" s="16"/>
    </row>
    <row r="116" spans="1:4" x14ac:dyDescent="0.2">
      <c r="A116" s="13">
        <v>112</v>
      </c>
      <c r="B116" s="14">
        <f>EDATE( Model!B$5, 3 * ( A116 - 1 ) * Model!B$8 )</f>
        <v>64101</v>
      </c>
      <c r="C116" s="14">
        <f>EDATE( Model!B$5, 3 * ( A116 ) * Model!B$8 )</f>
        <v>64285</v>
      </c>
      <c r="D116" s="16"/>
    </row>
    <row r="117" spans="1:4" x14ac:dyDescent="0.2">
      <c r="A117" s="13">
        <v>113</v>
      </c>
      <c r="B117" s="14">
        <f>EDATE( Model!B$5, 3 * ( A117 - 1 ) * Model!B$8 )</f>
        <v>64285</v>
      </c>
      <c r="C117" s="14">
        <f>EDATE( Model!B$5, 3 * ( A117 ) * Model!B$8 )</f>
        <v>64467</v>
      </c>
      <c r="D117" s="16"/>
    </row>
    <row r="118" spans="1:4" x14ac:dyDescent="0.2">
      <c r="A118" s="13">
        <v>114</v>
      </c>
      <c r="B118" s="14">
        <f>EDATE( Model!B$5, 3 * ( A118 - 1 ) * Model!B$8 )</f>
        <v>64467</v>
      </c>
      <c r="C118" s="14">
        <f>EDATE( Model!B$5, 3 * ( A118 ) * Model!B$8 )</f>
        <v>64651</v>
      </c>
      <c r="D118" s="16"/>
    </row>
    <row r="119" spans="1:4" x14ac:dyDescent="0.2">
      <c r="A119" s="13">
        <v>115</v>
      </c>
      <c r="B119" s="14">
        <f>EDATE( Model!B$5, 3 * ( A119 - 1 ) * Model!B$8 )</f>
        <v>64651</v>
      </c>
      <c r="C119" s="14">
        <f>EDATE( Model!B$5, 3 * ( A119 ) * Model!B$8 )</f>
        <v>64832</v>
      </c>
      <c r="D119" s="16"/>
    </row>
    <row r="120" spans="1:4" x14ac:dyDescent="0.2">
      <c r="A120" s="13">
        <v>116</v>
      </c>
      <c r="B120" s="14">
        <f>EDATE( Model!B$5, 3 * ( A120 - 1 ) * Model!B$8 )</f>
        <v>64832</v>
      </c>
      <c r="C120" s="14">
        <f>EDATE( Model!B$5, 3 * ( A120 ) * Model!B$8 )</f>
        <v>65016</v>
      </c>
      <c r="D120" s="16"/>
    </row>
    <row r="121" spans="1:4" x14ac:dyDescent="0.2">
      <c r="A121" s="13">
        <v>117</v>
      </c>
      <c r="B121" s="14">
        <f>EDATE( Model!B$5, 3 * ( A121 - 1 ) * Model!B$8 )</f>
        <v>65016</v>
      </c>
      <c r="C121" s="14">
        <f>EDATE( Model!B$5, 3 * ( A121 ) * Model!B$8 )</f>
        <v>65197</v>
      </c>
      <c r="D121" s="16"/>
    </row>
    <row r="122" spans="1:4" x14ac:dyDescent="0.2">
      <c r="A122" s="13">
        <v>118</v>
      </c>
      <c r="B122" s="14">
        <f>EDATE( Model!B$5, 3 * ( A122 - 1 ) * Model!B$8 )</f>
        <v>65197</v>
      </c>
      <c r="C122" s="14">
        <f>EDATE( Model!B$5, 3 * ( A122 ) * Model!B$8 )</f>
        <v>65381</v>
      </c>
      <c r="D122" s="16"/>
    </row>
    <row r="123" spans="1:4" x14ac:dyDescent="0.2">
      <c r="A123" s="13">
        <v>119</v>
      </c>
      <c r="B123" s="14">
        <f>EDATE( Model!B$5, 3 * ( A123 - 1 ) * Model!B$8 )</f>
        <v>65381</v>
      </c>
      <c r="C123" s="14">
        <f>EDATE( Model!B$5, 3 * ( A123 ) * Model!B$8 )</f>
        <v>65562</v>
      </c>
      <c r="D123" s="16"/>
    </row>
    <row r="124" spans="1:4" x14ac:dyDescent="0.2">
      <c r="A124" s="13">
        <v>120</v>
      </c>
      <c r="B124" s="14">
        <f>EDATE( Model!B$5, 3 * ( A124 - 1 ) * Model!B$8 )</f>
        <v>65562</v>
      </c>
      <c r="C124" s="14">
        <f>EDATE( Model!B$5, 3 * ( A124 ) * Model!B$8 )</f>
        <v>65746</v>
      </c>
      <c r="D124" s="16"/>
    </row>
    <row r="125" spans="1:4" x14ac:dyDescent="0.2">
      <c r="A125" s="13">
        <v>121</v>
      </c>
      <c r="B125" s="14">
        <f>EDATE( Model!B$5, 3 * ( A125 - 1 ) * Model!B$8 )</f>
        <v>65746</v>
      </c>
      <c r="C125" s="14">
        <f>EDATE( Model!B$5, 3 * ( A125 ) * Model!B$8 )</f>
        <v>65928</v>
      </c>
      <c r="D125" s="16"/>
    </row>
    <row r="126" spans="1:4" x14ac:dyDescent="0.2">
      <c r="A126" s="13">
        <v>122</v>
      </c>
      <c r="B126" s="14">
        <f>EDATE( Model!B$5, 3 * ( A126 - 1 ) * Model!B$8 )</f>
        <v>65928</v>
      </c>
      <c r="C126" s="14">
        <f>EDATE( Model!B$5, 3 * ( A126 ) * Model!B$8 )</f>
        <v>66112</v>
      </c>
      <c r="D126" s="16"/>
    </row>
    <row r="127" spans="1:4" x14ac:dyDescent="0.2">
      <c r="A127" s="13">
        <v>123</v>
      </c>
      <c r="B127" s="14">
        <f>EDATE( Model!B$5, 3 * ( A127 - 1 ) * Model!B$8 )</f>
        <v>66112</v>
      </c>
      <c r="C127" s="14">
        <f>EDATE( Model!B$5, 3 * ( A127 ) * Model!B$8 )</f>
        <v>66293</v>
      </c>
      <c r="D127" s="16"/>
    </row>
    <row r="128" spans="1:4" x14ac:dyDescent="0.2">
      <c r="A128" s="13">
        <v>124</v>
      </c>
      <c r="B128" s="14">
        <f>EDATE( Model!B$5, 3 * ( A128 - 1 ) * Model!B$8 )</f>
        <v>66293</v>
      </c>
      <c r="C128" s="14">
        <f>EDATE( Model!B$5, 3 * ( A128 ) * Model!B$8 )</f>
        <v>66477</v>
      </c>
      <c r="D128" s="16"/>
    </row>
    <row r="129" spans="1:4" x14ac:dyDescent="0.2">
      <c r="A129" s="13">
        <v>125</v>
      </c>
      <c r="B129" s="14">
        <f>EDATE( Model!B$5, 3 * ( A129 - 1 ) * Model!B$8 )</f>
        <v>66477</v>
      </c>
      <c r="C129" s="14">
        <f>EDATE( Model!B$5, 3 * ( A129 ) * Model!B$8 )</f>
        <v>66658</v>
      </c>
      <c r="D129" s="16"/>
    </row>
    <row r="130" spans="1:4" x14ac:dyDescent="0.2">
      <c r="A130" s="13">
        <v>126</v>
      </c>
      <c r="B130" s="14">
        <f>EDATE( Model!B$5, 3 * ( A130 - 1 ) * Model!B$8 )</f>
        <v>66658</v>
      </c>
      <c r="C130" s="14">
        <f>EDATE( Model!B$5, 3 * ( A130 ) * Model!B$8 )</f>
        <v>66842</v>
      </c>
      <c r="D130" s="16"/>
    </row>
    <row r="131" spans="1:4" x14ac:dyDescent="0.2">
      <c r="A131" s="13">
        <v>127</v>
      </c>
      <c r="B131" s="14">
        <f>EDATE( Model!B$5, 3 * ( A131 - 1 ) * Model!B$8 )</f>
        <v>66842</v>
      </c>
      <c r="C131" s="14">
        <f>EDATE( Model!B$5, 3 * ( A131 ) * Model!B$8 )</f>
        <v>67023</v>
      </c>
      <c r="D131" s="16"/>
    </row>
    <row r="132" spans="1:4" x14ac:dyDescent="0.2">
      <c r="A132" s="13">
        <v>128</v>
      </c>
      <c r="B132" s="14">
        <f>EDATE( Model!B$5, 3 * ( A132 - 1 ) * Model!B$8 )</f>
        <v>67023</v>
      </c>
      <c r="C132" s="14">
        <f>EDATE( Model!B$5, 3 * ( A132 ) * Model!B$8 )</f>
        <v>67207</v>
      </c>
      <c r="D132" s="16"/>
    </row>
    <row r="133" spans="1:4" x14ac:dyDescent="0.2">
      <c r="A133" s="13">
        <v>129</v>
      </c>
      <c r="B133" s="14">
        <f>EDATE( Model!B$5, 3 * ( A133 - 1 ) * Model!B$8 )</f>
        <v>67207</v>
      </c>
      <c r="C133" s="14">
        <f>EDATE( Model!B$5, 3 * ( A133 ) * Model!B$8 )</f>
        <v>67389</v>
      </c>
      <c r="D133" s="16"/>
    </row>
    <row r="134" spans="1:4" x14ac:dyDescent="0.2">
      <c r="A134" s="13">
        <v>130</v>
      </c>
      <c r="B134" s="14">
        <f>EDATE( Model!B$5, 3 * ( A134 - 1 ) * Model!B$8 )</f>
        <v>67389</v>
      </c>
      <c r="C134" s="14">
        <f>EDATE( Model!B$5, 3 * ( A134 ) * Model!B$8 )</f>
        <v>67573</v>
      </c>
      <c r="D134" s="16"/>
    </row>
    <row r="135" spans="1:4" x14ac:dyDescent="0.2">
      <c r="A135" s="13">
        <v>131</v>
      </c>
      <c r="B135" s="14">
        <f>EDATE( Model!B$5, 3 * ( A135 - 1 ) * Model!B$8 )</f>
        <v>67573</v>
      </c>
      <c r="C135" s="14">
        <f>EDATE( Model!B$5, 3 * ( A135 ) * Model!B$8 )</f>
        <v>67754</v>
      </c>
      <c r="D135" s="16"/>
    </row>
    <row r="136" spans="1:4" x14ac:dyDescent="0.2">
      <c r="A136" s="13">
        <v>132</v>
      </c>
      <c r="B136" s="14">
        <f>EDATE( Model!B$5, 3 * ( A136 - 1 ) * Model!B$8 )</f>
        <v>67754</v>
      </c>
      <c r="C136" s="14">
        <f>EDATE( Model!B$5, 3 * ( A136 ) * Model!B$8 )</f>
        <v>67938</v>
      </c>
      <c r="D136" s="16"/>
    </row>
    <row r="137" spans="1:4" x14ac:dyDescent="0.2">
      <c r="A137" s="13">
        <v>133</v>
      </c>
      <c r="B137" s="14">
        <f>EDATE( Model!B$5, 3 * ( A137 - 1 ) * Model!B$8 )</f>
        <v>67938</v>
      </c>
      <c r="C137" s="14">
        <f>EDATE( Model!B$5, 3 * ( A137 ) * Model!B$8 )</f>
        <v>68119</v>
      </c>
      <c r="D137" s="16"/>
    </row>
    <row r="138" spans="1:4" x14ac:dyDescent="0.2">
      <c r="A138" s="13">
        <v>134</v>
      </c>
      <c r="B138" s="14">
        <f>EDATE( Model!B$5, 3 * ( A138 - 1 ) * Model!B$8 )</f>
        <v>68119</v>
      </c>
      <c r="C138" s="14">
        <f>EDATE( Model!B$5, 3 * ( A138 ) * Model!B$8 )</f>
        <v>68303</v>
      </c>
      <c r="D138" s="16"/>
    </row>
    <row r="139" spans="1:4" x14ac:dyDescent="0.2">
      <c r="A139" s="13">
        <v>135</v>
      </c>
      <c r="B139" s="14">
        <f>EDATE( Model!B$5, 3 * ( A139 - 1 ) * Model!B$8 )</f>
        <v>68303</v>
      </c>
      <c r="C139" s="14">
        <f>EDATE( Model!B$5, 3 * ( A139 ) * Model!B$8 )</f>
        <v>68484</v>
      </c>
      <c r="D139" s="16"/>
    </row>
    <row r="140" spans="1:4" x14ac:dyDescent="0.2">
      <c r="A140" s="13">
        <v>136</v>
      </c>
      <c r="B140" s="14">
        <f>EDATE( Model!B$5, 3 * ( A140 - 1 ) * Model!B$8 )</f>
        <v>68484</v>
      </c>
      <c r="C140" s="14">
        <f>EDATE( Model!B$5, 3 * ( A140 ) * Model!B$8 )</f>
        <v>68668</v>
      </c>
      <c r="D140" s="16"/>
    </row>
    <row r="141" spans="1:4" x14ac:dyDescent="0.2">
      <c r="A141" s="13">
        <v>137</v>
      </c>
      <c r="B141" s="14">
        <f>EDATE( Model!B$5, 3 * ( A141 - 1 ) * Model!B$8 )</f>
        <v>68668</v>
      </c>
      <c r="C141" s="14">
        <f>EDATE( Model!B$5, 3 * ( A141 ) * Model!B$8 )</f>
        <v>68850</v>
      </c>
      <c r="D141" s="16"/>
    </row>
    <row r="142" spans="1:4" x14ac:dyDescent="0.2">
      <c r="A142" s="13">
        <v>138</v>
      </c>
      <c r="B142" s="14">
        <f>EDATE( Model!B$5, 3 * ( A142 - 1 ) * Model!B$8 )</f>
        <v>68850</v>
      </c>
      <c r="C142" s="14">
        <f>EDATE( Model!B$5, 3 * ( A142 ) * Model!B$8 )</f>
        <v>69034</v>
      </c>
      <c r="D142" s="16"/>
    </row>
    <row r="143" spans="1:4" x14ac:dyDescent="0.2">
      <c r="A143" s="13">
        <v>139</v>
      </c>
      <c r="B143" s="14">
        <f>EDATE( Model!B$5, 3 * ( A143 - 1 ) * Model!B$8 )</f>
        <v>69034</v>
      </c>
      <c r="C143" s="14">
        <f>EDATE( Model!B$5, 3 * ( A143 ) * Model!B$8 )</f>
        <v>69215</v>
      </c>
      <c r="D143" s="16"/>
    </row>
    <row r="144" spans="1:4" x14ac:dyDescent="0.2">
      <c r="A144" s="13">
        <v>140</v>
      </c>
      <c r="B144" s="14">
        <f>EDATE( Model!B$5, 3 * ( A144 - 1 ) * Model!B$8 )</f>
        <v>69215</v>
      </c>
      <c r="C144" s="14">
        <f>EDATE( Model!B$5, 3 * ( A144 ) * Model!B$8 )</f>
        <v>69399</v>
      </c>
      <c r="D144" s="16"/>
    </row>
    <row r="145" spans="1:4" x14ac:dyDescent="0.2">
      <c r="A145" s="13">
        <v>141</v>
      </c>
      <c r="B145" s="14">
        <f>EDATE( Model!B$5, 3 * ( A145 - 1 ) * Model!B$8 )</f>
        <v>69399</v>
      </c>
      <c r="C145" s="14">
        <f>EDATE( Model!B$5, 3 * ( A145 ) * Model!B$8 )</f>
        <v>69580</v>
      </c>
      <c r="D145" s="16"/>
    </row>
    <row r="146" spans="1:4" x14ac:dyDescent="0.2">
      <c r="A146" s="13">
        <v>142</v>
      </c>
      <c r="B146" s="14">
        <f>EDATE( Model!B$5, 3 * ( A146 - 1 ) * Model!B$8 )</f>
        <v>69580</v>
      </c>
      <c r="C146" s="14">
        <f>EDATE( Model!B$5, 3 * ( A146 ) * Model!B$8 )</f>
        <v>69764</v>
      </c>
      <c r="D146" s="16"/>
    </row>
    <row r="147" spans="1:4" x14ac:dyDescent="0.2">
      <c r="A147" s="13">
        <v>143</v>
      </c>
      <c r="B147" s="14">
        <f>EDATE( Model!B$5, 3 * ( A147 - 1 ) * Model!B$8 )</f>
        <v>69764</v>
      </c>
      <c r="C147" s="14">
        <f>EDATE( Model!B$5, 3 * ( A147 ) * Model!B$8 )</f>
        <v>69945</v>
      </c>
      <c r="D147" s="16"/>
    </row>
    <row r="148" spans="1:4" x14ac:dyDescent="0.2">
      <c r="A148" s="13">
        <v>144</v>
      </c>
      <c r="B148" s="14">
        <f>EDATE( Model!B$5, 3 * ( A148 - 1 ) * Model!B$8 )</f>
        <v>69945</v>
      </c>
      <c r="C148" s="14">
        <f>EDATE( Model!B$5, 3 * ( A148 ) * Model!B$8 )</f>
        <v>70129</v>
      </c>
      <c r="D148" s="16"/>
    </row>
    <row r="149" spans="1:4" x14ac:dyDescent="0.2">
      <c r="A149" s="13">
        <v>145</v>
      </c>
      <c r="B149" s="14">
        <f>EDATE( Model!B$5, 3 * ( A149 - 1 ) * Model!B$8 )</f>
        <v>70129</v>
      </c>
      <c r="C149" s="14">
        <f>EDATE( Model!B$5, 3 * ( A149 ) * Model!B$8 )</f>
        <v>70311</v>
      </c>
      <c r="D149" s="16"/>
    </row>
    <row r="150" spans="1:4" x14ac:dyDescent="0.2">
      <c r="A150" s="13">
        <v>146</v>
      </c>
      <c r="B150" s="14">
        <f>EDATE( Model!B$5, 3 * ( A150 - 1 ) * Model!B$8 )</f>
        <v>70311</v>
      </c>
      <c r="C150" s="14">
        <f>EDATE( Model!B$5, 3 * ( A150 ) * Model!B$8 )</f>
        <v>70495</v>
      </c>
      <c r="D150" s="16"/>
    </row>
    <row r="151" spans="1:4" x14ac:dyDescent="0.2">
      <c r="A151" s="13">
        <v>147</v>
      </c>
      <c r="B151" s="14">
        <f>EDATE( Model!B$5, 3 * ( A151 - 1 ) * Model!B$8 )</f>
        <v>70495</v>
      </c>
      <c r="C151" s="14">
        <f>EDATE( Model!B$5, 3 * ( A151 ) * Model!B$8 )</f>
        <v>70676</v>
      </c>
      <c r="D151" s="16"/>
    </row>
    <row r="152" spans="1:4" x14ac:dyDescent="0.2">
      <c r="A152" s="13">
        <v>148</v>
      </c>
      <c r="B152" s="14">
        <f>EDATE( Model!B$5, 3 * ( A152 - 1 ) * Model!B$8 )</f>
        <v>70676</v>
      </c>
      <c r="C152" s="14">
        <f>EDATE( Model!B$5, 3 * ( A152 ) * Model!B$8 )</f>
        <v>70860</v>
      </c>
      <c r="D152" s="16"/>
    </row>
    <row r="153" spans="1:4" x14ac:dyDescent="0.2">
      <c r="A153" s="13">
        <v>149</v>
      </c>
      <c r="B153" s="14">
        <f>EDATE( Model!B$5, 3 * ( A153 - 1 ) * Model!B$8 )</f>
        <v>70860</v>
      </c>
      <c r="C153" s="14">
        <f>EDATE( Model!B$5, 3 * ( A153 ) * Model!B$8 )</f>
        <v>71041</v>
      </c>
      <c r="D153" s="16"/>
    </row>
    <row r="154" spans="1:4" x14ac:dyDescent="0.2">
      <c r="A154" s="13">
        <v>150</v>
      </c>
      <c r="B154" s="14">
        <f>EDATE( Model!B$5, 3 * ( A154 - 1 ) * Model!B$8 )</f>
        <v>71041</v>
      </c>
      <c r="C154" s="14">
        <f>EDATE( Model!B$5, 3 * ( A154 ) * Model!B$8 )</f>
        <v>71225</v>
      </c>
      <c r="D154" s="16"/>
    </row>
    <row r="155" spans="1:4" x14ac:dyDescent="0.2">
      <c r="A155" s="13">
        <v>151</v>
      </c>
      <c r="B155" s="14">
        <f>EDATE( Model!B$5, 3 * ( A155 - 1 ) * Model!B$8 )</f>
        <v>71225</v>
      </c>
      <c r="C155" s="14">
        <f>EDATE( Model!B$5, 3 * ( A155 ) * Model!B$8 )</f>
        <v>71406</v>
      </c>
      <c r="D155" s="16"/>
    </row>
    <row r="156" spans="1:4" x14ac:dyDescent="0.2">
      <c r="A156" s="13">
        <v>152</v>
      </c>
      <c r="B156" s="14">
        <f>EDATE( Model!B$5, 3 * ( A156 - 1 ) * Model!B$8 )</f>
        <v>71406</v>
      </c>
      <c r="C156" s="14">
        <f>EDATE( Model!B$5, 3 * ( A156 ) * Model!B$8 )</f>
        <v>71590</v>
      </c>
      <c r="D156" s="16"/>
    </row>
    <row r="157" spans="1:4" x14ac:dyDescent="0.2">
      <c r="A157" s="13">
        <v>153</v>
      </c>
      <c r="B157" s="14">
        <f>EDATE( Model!B$5, 3 * ( A157 - 1 ) * Model!B$8 )</f>
        <v>71590</v>
      </c>
      <c r="C157" s="14">
        <f>EDATE( Model!B$5, 3 * ( A157 ) * Model!B$8 )</f>
        <v>71772</v>
      </c>
      <c r="D157" s="16"/>
    </row>
    <row r="158" spans="1:4" x14ac:dyDescent="0.2">
      <c r="A158" s="13">
        <v>154</v>
      </c>
      <c r="B158" s="14">
        <f>EDATE( Model!B$5, 3 * ( A158 - 1 ) * Model!B$8 )</f>
        <v>71772</v>
      </c>
      <c r="C158" s="14">
        <f>EDATE( Model!B$5, 3 * ( A158 ) * Model!B$8 )</f>
        <v>71956</v>
      </c>
      <c r="D158" s="16"/>
    </row>
    <row r="159" spans="1:4" x14ac:dyDescent="0.2">
      <c r="A159" s="13">
        <v>155</v>
      </c>
      <c r="B159" s="14">
        <f>EDATE( Model!B$5, 3 * ( A159 - 1 ) * Model!B$8 )</f>
        <v>71956</v>
      </c>
      <c r="C159" s="14">
        <f>EDATE( Model!B$5, 3 * ( A159 ) * Model!B$8 )</f>
        <v>72137</v>
      </c>
      <c r="D159" s="16"/>
    </row>
    <row r="160" spans="1:4" x14ac:dyDescent="0.2">
      <c r="A160" s="13">
        <v>156</v>
      </c>
      <c r="B160" s="14">
        <f>EDATE( Model!B$5, 3 * ( A160 - 1 ) * Model!B$8 )</f>
        <v>72137</v>
      </c>
      <c r="C160" s="14">
        <f>EDATE( Model!B$5, 3 * ( A160 ) * Model!B$8 )</f>
        <v>72321</v>
      </c>
      <c r="D160" s="16"/>
    </row>
    <row r="161" spans="1:4" x14ac:dyDescent="0.2">
      <c r="A161" s="13">
        <v>157</v>
      </c>
      <c r="B161" s="14">
        <f>EDATE( Model!B$5, 3 * ( A161 - 1 ) * Model!B$8 )</f>
        <v>72321</v>
      </c>
      <c r="C161" s="14">
        <f>EDATE( Model!B$5, 3 * ( A161 ) * Model!B$8 )</f>
        <v>72502</v>
      </c>
      <c r="D161" s="16"/>
    </row>
    <row r="162" spans="1:4" x14ac:dyDescent="0.2">
      <c r="A162" s="13">
        <v>158</v>
      </c>
      <c r="B162" s="14">
        <f>EDATE( Model!B$5, 3 * ( A162 - 1 ) * Model!B$8 )</f>
        <v>72502</v>
      </c>
      <c r="C162" s="14">
        <f>EDATE( Model!B$5, 3 * ( A162 ) * Model!B$8 )</f>
        <v>72686</v>
      </c>
      <c r="D162" s="16"/>
    </row>
    <row r="163" spans="1:4" x14ac:dyDescent="0.2">
      <c r="A163" s="13">
        <v>159</v>
      </c>
      <c r="B163" s="14">
        <f>EDATE( Model!B$5, 3 * ( A163 - 1 ) * Model!B$8 )</f>
        <v>72686</v>
      </c>
      <c r="C163" s="14">
        <f>EDATE( Model!B$5, 3 * ( A163 ) * Model!B$8 )</f>
        <v>72867</v>
      </c>
      <c r="D163" s="16"/>
    </row>
    <row r="164" spans="1:4" x14ac:dyDescent="0.2">
      <c r="A164" s="13">
        <v>160</v>
      </c>
      <c r="B164" s="14">
        <f>EDATE( Model!B$5, 3 * ( A164 - 1 ) * Model!B$8 )</f>
        <v>72867</v>
      </c>
      <c r="C164" s="14">
        <f>EDATE( Model!B$5, 3 * ( A164 ) * Model!B$8 )</f>
        <v>73051</v>
      </c>
      <c r="D164" s="16"/>
    </row>
    <row r="165" spans="1:4" x14ac:dyDescent="0.2">
      <c r="A165" s="13">
        <v>161</v>
      </c>
      <c r="B165" s="14">
        <f>EDATE( Model!B$5, 3 * ( A165 - 1 ) * Model!B$8 )</f>
        <v>73051</v>
      </c>
      <c r="C165" s="14">
        <f>EDATE( Model!B$5, 3 * ( A165 ) * Model!B$8 )</f>
        <v>73232</v>
      </c>
      <c r="D165" s="16"/>
    </row>
    <row r="166" spans="1:4" x14ac:dyDescent="0.2">
      <c r="A166" s="13">
        <v>162</v>
      </c>
      <c r="B166" s="14">
        <f>EDATE( Model!B$5, 3 * ( A166 - 1 ) * Model!B$8 )</f>
        <v>73232</v>
      </c>
      <c r="C166" s="14">
        <f>EDATE( Model!B$5, 3 * ( A166 ) * Model!B$8 )</f>
        <v>73416</v>
      </c>
      <c r="D166" s="16"/>
    </row>
    <row r="167" spans="1:4" x14ac:dyDescent="0.2">
      <c r="A167" s="13">
        <v>163</v>
      </c>
      <c r="B167" s="14">
        <f>EDATE( Model!B$5, 3 * ( A167 - 1 ) * Model!B$8 )</f>
        <v>73416</v>
      </c>
      <c r="C167" s="14">
        <f>EDATE( Model!B$5, 3 * ( A167 ) * Model!B$8 )</f>
        <v>73597</v>
      </c>
      <c r="D167" s="16"/>
    </row>
    <row r="168" spans="1:4" x14ac:dyDescent="0.2">
      <c r="A168" s="13">
        <v>164</v>
      </c>
      <c r="B168" s="14">
        <f>EDATE( Model!B$5, 3 * ( A168 - 1 ) * Model!B$8 )</f>
        <v>73597</v>
      </c>
      <c r="C168" s="14">
        <f>EDATE( Model!B$5, 3 * ( A168 ) * Model!B$8 )</f>
        <v>73781</v>
      </c>
      <c r="D168" s="16"/>
    </row>
    <row r="169" spans="1:4" x14ac:dyDescent="0.2">
      <c r="A169" s="13"/>
      <c r="B169" s="14"/>
      <c r="C169" s="14"/>
      <c r="D169" s="1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4"/>
  <sheetViews>
    <sheetView topLeftCell="A31" workbookViewId="0">
      <selection activeCell="F61" sqref="F61"/>
    </sheetView>
  </sheetViews>
  <sheetFormatPr baseColWidth="10" defaultColWidth="8.83203125" defaultRowHeight="15" x14ac:dyDescent="0.2"/>
  <cols>
    <col min="1" max="1" width="13" customWidth="1"/>
    <col min="2" max="2" width="14.5" customWidth="1"/>
    <col min="3" max="3" width="11.5" customWidth="1"/>
  </cols>
  <sheetData>
    <row r="1" spans="1:11" ht="21" thickBot="1" x14ac:dyDescent="0.3">
      <c r="A1" s="1" t="str">
        <f ca="1">MID(CELL("filename",A1),FIND("]",CELL("filename",A1))+1,255)</f>
        <v>Input Rate Schedule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" thickTop="1" x14ac:dyDescent="0.2"/>
    <row r="4" spans="1:11" x14ac:dyDescent="0.2">
      <c r="A4" s="2" t="s">
        <v>13</v>
      </c>
      <c r="B4" s="2" t="s">
        <v>2</v>
      </c>
      <c r="C4" s="2" t="s">
        <v>7</v>
      </c>
      <c r="D4" s="2" t="s">
        <v>24</v>
      </c>
    </row>
    <row r="5" spans="1:11" x14ac:dyDescent="0.2">
      <c r="A5" s="2">
        <v>1</v>
      </c>
      <c r="B5" s="7">
        <v>43831</v>
      </c>
      <c r="C5" s="3" t="s">
        <v>6</v>
      </c>
      <c r="D5" s="3">
        <v>0</v>
      </c>
    </row>
    <row r="6" spans="1:11" x14ac:dyDescent="0.2">
      <c r="A6" s="2">
        <v>2</v>
      </c>
      <c r="B6" s="7">
        <f>EDATE(B5,12)</f>
        <v>44197</v>
      </c>
      <c r="C6" s="3" t="s">
        <v>6</v>
      </c>
      <c r="D6" s="3">
        <v>0</v>
      </c>
    </row>
    <row r="7" spans="1:11" x14ac:dyDescent="0.2">
      <c r="A7" s="2">
        <v>3</v>
      </c>
      <c r="B7" s="7">
        <f t="shared" ref="B7:B23" si="0">EDATE(B6,12)</f>
        <v>44562</v>
      </c>
      <c r="C7" s="3" t="s">
        <v>6</v>
      </c>
      <c r="D7" s="3">
        <v>0</v>
      </c>
    </row>
    <row r="8" spans="1:11" x14ac:dyDescent="0.2">
      <c r="A8" s="2">
        <v>4</v>
      </c>
      <c r="B8" s="7">
        <f t="shared" si="0"/>
        <v>44927</v>
      </c>
      <c r="C8" s="3" t="s">
        <v>6</v>
      </c>
      <c r="D8" s="3">
        <v>0</v>
      </c>
    </row>
    <row r="9" spans="1:11" x14ac:dyDescent="0.2">
      <c r="A9" s="2">
        <v>5</v>
      </c>
      <c r="B9" s="7">
        <f t="shared" si="0"/>
        <v>45292</v>
      </c>
      <c r="C9" s="3" t="s">
        <v>6</v>
      </c>
      <c r="D9" s="3">
        <v>0</v>
      </c>
    </row>
    <row r="10" spans="1:11" x14ac:dyDescent="0.2">
      <c r="A10" s="2">
        <v>6</v>
      </c>
      <c r="B10" s="7">
        <f t="shared" si="0"/>
        <v>45658</v>
      </c>
      <c r="C10" s="3" t="s">
        <v>6</v>
      </c>
      <c r="D10" s="3">
        <v>0</v>
      </c>
    </row>
    <row r="11" spans="1:11" x14ac:dyDescent="0.2">
      <c r="A11" s="2">
        <v>7</v>
      </c>
      <c r="B11" s="7">
        <f t="shared" si="0"/>
        <v>46023</v>
      </c>
      <c r="C11" s="3" t="s">
        <v>6</v>
      </c>
      <c r="D11" s="3">
        <v>0</v>
      </c>
    </row>
    <row r="12" spans="1:11" x14ac:dyDescent="0.2">
      <c r="A12" s="2">
        <v>8</v>
      </c>
      <c r="B12" s="7">
        <f t="shared" si="0"/>
        <v>46388</v>
      </c>
      <c r="C12" s="3" t="s">
        <v>6</v>
      </c>
      <c r="D12" s="3">
        <v>0</v>
      </c>
    </row>
    <row r="13" spans="1:11" x14ac:dyDescent="0.2">
      <c r="A13" s="2">
        <v>9</v>
      </c>
      <c r="B13" s="7">
        <f t="shared" si="0"/>
        <v>46753</v>
      </c>
      <c r="C13" s="3" t="s">
        <v>6</v>
      </c>
      <c r="D13" s="3">
        <v>0</v>
      </c>
    </row>
    <row r="14" spans="1:11" x14ac:dyDescent="0.2">
      <c r="A14" s="2">
        <v>10</v>
      </c>
      <c r="B14" s="7">
        <f t="shared" si="0"/>
        <v>47119</v>
      </c>
      <c r="C14" s="3" t="s">
        <v>6</v>
      </c>
      <c r="D14" s="3">
        <v>0</v>
      </c>
    </row>
    <row r="15" spans="1:11" x14ac:dyDescent="0.2">
      <c r="A15" s="2">
        <v>11</v>
      </c>
      <c r="B15" s="7">
        <f t="shared" si="0"/>
        <v>47484</v>
      </c>
      <c r="C15" s="3" t="s">
        <v>6</v>
      </c>
      <c r="D15" s="3">
        <v>0</v>
      </c>
    </row>
    <row r="16" spans="1:11" x14ac:dyDescent="0.2">
      <c r="A16" s="2">
        <v>12</v>
      </c>
      <c r="B16" s="7">
        <f t="shared" si="0"/>
        <v>47849</v>
      </c>
      <c r="C16" s="3" t="s">
        <v>6</v>
      </c>
      <c r="D16" s="3">
        <v>0</v>
      </c>
    </row>
    <row r="17" spans="1:4" x14ac:dyDescent="0.2">
      <c r="A17" s="2">
        <v>13</v>
      </c>
      <c r="B17" s="7">
        <f t="shared" si="0"/>
        <v>48214</v>
      </c>
      <c r="C17" s="3" t="s">
        <v>6</v>
      </c>
      <c r="D17" s="3">
        <v>0</v>
      </c>
    </row>
    <row r="18" spans="1:4" x14ac:dyDescent="0.2">
      <c r="A18" s="2">
        <v>14</v>
      </c>
      <c r="B18" s="7">
        <f t="shared" si="0"/>
        <v>48580</v>
      </c>
      <c r="C18" s="3" t="s">
        <v>6</v>
      </c>
      <c r="D18" s="3">
        <v>0</v>
      </c>
    </row>
    <row r="19" spans="1:4" x14ac:dyDescent="0.2">
      <c r="A19" s="2">
        <v>15</v>
      </c>
      <c r="B19" s="7">
        <f t="shared" si="0"/>
        <v>48945</v>
      </c>
      <c r="C19" s="3" t="s">
        <v>6</v>
      </c>
      <c r="D19" s="3">
        <v>0</v>
      </c>
    </row>
    <row r="20" spans="1:4" x14ac:dyDescent="0.2">
      <c r="A20" s="2">
        <v>16</v>
      </c>
      <c r="B20" s="7">
        <f t="shared" si="0"/>
        <v>49310</v>
      </c>
      <c r="C20" s="3" t="s">
        <v>6</v>
      </c>
      <c r="D20" s="3">
        <v>0</v>
      </c>
    </row>
    <row r="21" spans="1:4" x14ac:dyDescent="0.2">
      <c r="A21" s="2">
        <v>17</v>
      </c>
      <c r="B21" s="7">
        <f t="shared" si="0"/>
        <v>49675</v>
      </c>
      <c r="C21" s="3" t="s">
        <v>6</v>
      </c>
      <c r="D21" s="3">
        <v>0</v>
      </c>
    </row>
    <row r="22" spans="1:4" x14ac:dyDescent="0.2">
      <c r="A22" s="2">
        <v>18</v>
      </c>
      <c r="B22" s="7">
        <f t="shared" si="0"/>
        <v>50041</v>
      </c>
      <c r="C22" s="3" t="s">
        <v>6</v>
      </c>
      <c r="D22" s="3">
        <v>0</v>
      </c>
    </row>
    <row r="23" spans="1:4" x14ac:dyDescent="0.2">
      <c r="A23" s="2">
        <v>19</v>
      </c>
      <c r="B23" s="7">
        <f t="shared" si="0"/>
        <v>50406</v>
      </c>
      <c r="C23" s="3" t="s">
        <v>6</v>
      </c>
      <c r="D23" s="3">
        <v>0</v>
      </c>
    </row>
    <row r="24" spans="1:4" x14ac:dyDescent="0.2">
      <c r="A24" s="2">
        <v>20</v>
      </c>
      <c r="B24" s="7">
        <f>EDATE(B23,12)</f>
        <v>50771</v>
      </c>
      <c r="C24" s="3" t="s">
        <v>6</v>
      </c>
      <c r="D24" s="3">
        <v>0</v>
      </c>
    </row>
    <row r="25" spans="1:4" x14ac:dyDescent="0.2">
      <c r="A25" s="2">
        <v>21</v>
      </c>
      <c r="B25" s="7">
        <f t="shared" ref="B25:B34" si="1">EDATE(B24,12)</f>
        <v>51136</v>
      </c>
      <c r="C25" s="3" t="s">
        <v>6</v>
      </c>
      <c r="D25" s="3">
        <v>0</v>
      </c>
    </row>
    <row r="26" spans="1:4" x14ac:dyDescent="0.2">
      <c r="A26" s="2">
        <v>22</v>
      </c>
      <c r="B26" s="7">
        <f t="shared" si="1"/>
        <v>51502</v>
      </c>
      <c r="C26" s="3" t="s">
        <v>6</v>
      </c>
      <c r="D26" s="3">
        <v>0</v>
      </c>
    </row>
    <row r="27" spans="1:4" x14ac:dyDescent="0.2">
      <c r="A27" s="2">
        <v>23</v>
      </c>
      <c r="B27" s="7">
        <f t="shared" si="1"/>
        <v>51867</v>
      </c>
      <c r="C27" s="3" t="s">
        <v>6</v>
      </c>
      <c r="D27" s="3">
        <v>0</v>
      </c>
    </row>
    <row r="28" spans="1:4" x14ac:dyDescent="0.2">
      <c r="A28" s="2">
        <v>24</v>
      </c>
      <c r="B28" s="7">
        <f t="shared" si="1"/>
        <v>52232</v>
      </c>
      <c r="C28" s="3" t="s">
        <v>6</v>
      </c>
      <c r="D28" s="3">
        <v>0</v>
      </c>
    </row>
    <row r="29" spans="1:4" x14ac:dyDescent="0.2">
      <c r="A29" s="2">
        <v>25</v>
      </c>
      <c r="B29" s="7">
        <f t="shared" si="1"/>
        <v>52597</v>
      </c>
      <c r="C29" s="3" t="s">
        <v>6</v>
      </c>
      <c r="D29" s="3">
        <v>0</v>
      </c>
    </row>
    <row r="30" spans="1:4" x14ac:dyDescent="0.2">
      <c r="A30" s="2">
        <v>26</v>
      </c>
      <c r="B30" s="7">
        <f t="shared" si="1"/>
        <v>52963</v>
      </c>
      <c r="C30" s="3" t="s">
        <v>6</v>
      </c>
      <c r="D30" s="3">
        <v>0</v>
      </c>
    </row>
    <row r="31" spans="1:4" x14ac:dyDescent="0.2">
      <c r="A31" s="2">
        <v>27</v>
      </c>
      <c r="B31" s="7">
        <f t="shared" si="1"/>
        <v>53328</v>
      </c>
      <c r="C31" s="3" t="s">
        <v>6</v>
      </c>
      <c r="D31" s="3">
        <v>0</v>
      </c>
    </row>
    <row r="32" spans="1:4" x14ac:dyDescent="0.2">
      <c r="A32" s="2">
        <v>28</v>
      </c>
      <c r="B32" s="7">
        <f t="shared" si="1"/>
        <v>53693</v>
      </c>
      <c r="C32" s="3" t="s">
        <v>6</v>
      </c>
      <c r="D32" s="3">
        <v>0</v>
      </c>
    </row>
    <row r="33" spans="1:4" x14ac:dyDescent="0.2">
      <c r="A33" s="2">
        <v>29</v>
      </c>
      <c r="B33" s="7">
        <f t="shared" si="1"/>
        <v>54058</v>
      </c>
      <c r="C33" s="3" t="s">
        <v>6</v>
      </c>
      <c r="D33" s="3">
        <v>0</v>
      </c>
    </row>
    <row r="34" spans="1:4" x14ac:dyDescent="0.2">
      <c r="A34" s="2">
        <v>30</v>
      </c>
      <c r="B34" s="7">
        <f t="shared" si="1"/>
        <v>54424</v>
      </c>
      <c r="C34" s="3" t="s">
        <v>6</v>
      </c>
      <c r="D34" s="3">
        <v>0</v>
      </c>
    </row>
    <row r="35" spans="1:4" x14ac:dyDescent="0.2">
      <c r="A35" s="2">
        <f>A34+1</f>
        <v>31</v>
      </c>
      <c r="B35" s="7">
        <v>43831</v>
      </c>
      <c r="C35" s="3" t="s">
        <v>5</v>
      </c>
      <c r="D35" s="3">
        <v>0</v>
      </c>
    </row>
    <row r="36" spans="1:4" x14ac:dyDescent="0.2">
      <c r="A36" s="2">
        <f t="shared" ref="A36:A43" si="2">A35+1</f>
        <v>32</v>
      </c>
      <c r="B36" s="7">
        <f>EDATE(B35,12)</f>
        <v>44197</v>
      </c>
      <c r="C36" s="3" t="s">
        <v>5</v>
      </c>
      <c r="D36" s="3">
        <v>0</v>
      </c>
    </row>
    <row r="37" spans="1:4" x14ac:dyDescent="0.2">
      <c r="A37" s="2">
        <f t="shared" si="2"/>
        <v>33</v>
      </c>
      <c r="B37" s="7">
        <f t="shared" ref="B37:B64" si="3">EDATE(B36,12)</f>
        <v>44562</v>
      </c>
      <c r="C37" s="3" t="s">
        <v>5</v>
      </c>
      <c r="D37" s="3">
        <v>0</v>
      </c>
    </row>
    <row r="38" spans="1:4" x14ac:dyDescent="0.2">
      <c r="A38" s="2">
        <f t="shared" si="2"/>
        <v>34</v>
      </c>
      <c r="B38" s="7">
        <f t="shared" si="3"/>
        <v>44927</v>
      </c>
      <c r="C38" s="3" t="s">
        <v>5</v>
      </c>
      <c r="D38" s="3">
        <v>0</v>
      </c>
    </row>
    <row r="39" spans="1:4" x14ac:dyDescent="0.2">
      <c r="A39" s="2">
        <f t="shared" si="2"/>
        <v>35</v>
      </c>
      <c r="B39" s="7">
        <f t="shared" si="3"/>
        <v>45292</v>
      </c>
      <c r="C39" s="3" t="s">
        <v>5</v>
      </c>
      <c r="D39" s="3">
        <v>0</v>
      </c>
    </row>
    <row r="40" spans="1:4" x14ac:dyDescent="0.2">
      <c r="A40" s="2">
        <f t="shared" si="2"/>
        <v>36</v>
      </c>
      <c r="B40" s="7">
        <f t="shared" si="3"/>
        <v>45658</v>
      </c>
      <c r="C40" s="3" t="s">
        <v>5</v>
      </c>
      <c r="D40" s="3">
        <v>0</v>
      </c>
    </row>
    <row r="41" spans="1:4" x14ac:dyDescent="0.2">
      <c r="A41" s="2">
        <f t="shared" si="2"/>
        <v>37</v>
      </c>
      <c r="B41" s="7">
        <f t="shared" si="3"/>
        <v>46023</v>
      </c>
      <c r="C41" s="3" t="s">
        <v>5</v>
      </c>
      <c r="D41" s="3">
        <v>0</v>
      </c>
    </row>
    <row r="42" spans="1:4" x14ac:dyDescent="0.2">
      <c r="A42" s="2">
        <f t="shared" si="2"/>
        <v>38</v>
      </c>
      <c r="B42" s="7">
        <f t="shared" si="3"/>
        <v>46388</v>
      </c>
      <c r="C42" s="3" t="s">
        <v>5</v>
      </c>
      <c r="D42" s="3">
        <v>0</v>
      </c>
    </row>
    <row r="43" spans="1:4" x14ac:dyDescent="0.2">
      <c r="A43" s="2">
        <f t="shared" si="2"/>
        <v>39</v>
      </c>
      <c r="B43" s="7">
        <f t="shared" si="3"/>
        <v>46753</v>
      </c>
      <c r="C43" s="3" t="s">
        <v>5</v>
      </c>
      <c r="D43" s="3">
        <v>0</v>
      </c>
    </row>
    <row r="44" spans="1:4" x14ac:dyDescent="0.2">
      <c r="A44" s="2">
        <f>A43+1</f>
        <v>40</v>
      </c>
      <c r="B44" s="7">
        <f t="shared" si="3"/>
        <v>47119</v>
      </c>
      <c r="C44" s="3" t="s">
        <v>5</v>
      </c>
      <c r="D44" s="3">
        <v>0</v>
      </c>
    </row>
    <row r="45" spans="1:4" x14ac:dyDescent="0.2">
      <c r="A45" s="2">
        <f t="shared" ref="A45:A63" si="4">A44+1</f>
        <v>41</v>
      </c>
      <c r="B45" s="7">
        <f t="shared" si="3"/>
        <v>47484</v>
      </c>
      <c r="C45" s="3" t="s">
        <v>5</v>
      </c>
      <c r="D45" s="3">
        <v>0</v>
      </c>
    </row>
    <row r="46" spans="1:4" x14ac:dyDescent="0.2">
      <c r="A46" s="2">
        <f t="shared" si="4"/>
        <v>42</v>
      </c>
      <c r="B46" s="7">
        <f t="shared" si="3"/>
        <v>47849</v>
      </c>
      <c r="C46" s="3" t="s">
        <v>5</v>
      </c>
      <c r="D46" s="3">
        <v>0</v>
      </c>
    </row>
    <row r="47" spans="1:4" x14ac:dyDescent="0.2">
      <c r="A47" s="2">
        <f t="shared" si="4"/>
        <v>43</v>
      </c>
      <c r="B47" s="7">
        <f t="shared" si="3"/>
        <v>48214</v>
      </c>
      <c r="C47" s="3" t="s">
        <v>5</v>
      </c>
      <c r="D47" s="3">
        <v>0</v>
      </c>
    </row>
    <row r="48" spans="1:4" x14ac:dyDescent="0.2">
      <c r="A48" s="2">
        <f t="shared" si="4"/>
        <v>44</v>
      </c>
      <c r="B48" s="7">
        <f t="shared" si="3"/>
        <v>48580</v>
      </c>
      <c r="C48" s="3" t="s">
        <v>5</v>
      </c>
      <c r="D48" s="3">
        <v>0</v>
      </c>
    </row>
    <row r="49" spans="1:4" x14ac:dyDescent="0.2">
      <c r="A49" s="2">
        <f t="shared" si="4"/>
        <v>45</v>
      </c>
      <c r="B49" s="7">
        <f t="shared" si="3"/>
        <v>48945</v>
      </c>
      <c r="C49" s="3" t="s">
        <v>5</v>
      </c>
      <c r="D49" s="3">
        <v>0</v>
      </c>
    </row>
    <row r="50" spans="1:4" x14ac:dyDescent="0.2">
      <c r="A50" s="2">
        <f t="shared" si="4"/>
        <v>46</v>
      </c>
      <c r="B50" s="7">
        <f t="shared" si="3"/>
        <v>49310</v>
      </c>
      <c r="C50" s="3" t="s">
        <v>5</v>
      </c>
      <c r="D50" s="3">
        <v>0</v>
      </c>
    </row>
    <row r="51" spans="1:4" x14ac:dyDescent="0.2">
      <c r="A51" s="2">
        <f t="shared" si="4"/>
        <v>47</v>
      </c>
      <c r="B51" s="7">
        <f t="shared" si="3"/>
        <v>49675</v>
      </c>
      <c r="C51" s="3" t="s">
        <v>5</v>
      </c>
      <c r="D51" s="3">
        <v>0</v>
      </c>
    </row>
    <row r="52" spans="1:4" x14ac:dyDescent="0.2">
      <c r="A52" s="2">
        <f t="shared" si="4"/>
        <v>48</v>
      </c>
      <c r="B52" s="7">
        <f t="shared" si="3"/>
        <v>50041</v>
      </c>
      <c r="C52" s="3" t="s">
        <v>5</v>
      </c>
      <c r="D52" s="3">
        <v>0</v>
      </c>
    </row>
    <row r="53" spans="1:4" x14ac:dyDescent="0.2">
      <c r="A53" s="2">
        <f t="shared" si="4"/>
        <v>49</v>
      </c>
      <c r="B53" s="7">
        <f t="shared" si="3"/>
        <v>50406</v>
      </c>
      <c r="C53" s="3" t="s">
        <v>5</v>
      </c>
      <c r="D53" s="3">
        <v>0</v>
      </c>
    </row>
    <row r="54" spans="1:4" x14ac:dyDescent="0.2">
      <c r="A54" s="2">
        <f t="shared" si="4"/>
        <v>50</v>
      </c>
      <c r="B54" s="7">
        <f t="shared" si="3"/>
        <v>50771</v>
      </c>
      <c r="C54" s="3" t="s">
        <v>5</v>
      </c>
      <c r="D54" s="3">
        <v>0</v>
      </c>
    </row>
    <row r="55" spans="1:4" x14ac:dyDescent="0.2">
      <c r="A55" s="2">
        <f t="shared" si="4"/>
        <v>51</v>
      </c>
      <c r="B55" s="7">
        <f t="shared" si="3"/>
        <v>51136</v>
      </c>
      <c r="C55" s="3" t="s">
        <v>5</v>
      </c>
      <c r="D55" s="3">
        <v>0</v>
      </c>
    </row>
    <row r="56" spans="1:4" x14ac:dyDescent="0.2">
      <c r="A56" s="2">
        <f t="shared" si="4"/>
        <v>52</v>
      </c>
      <c r="B56" s="7">
        <f t="shared" si="3"/>
        <v>51502</v>
      </c>
      <c r="C56" s="3" t="s">
        <v>5</v>
      </c>
      <c r="D56" s="3">
        <v>0</v>
      </c>
    </row>
    <row r="57" spans="1:4" x14ac:dyDescent="0.2">
      <c r="A57" s="2">
        <f t="shared" si="4"/>
        <v>53</v>
      </c>
      <c r="B57" s="7">
        <f t="shared" si="3"/>
        <v>51867</v>
      </c>
      <c r="C57" s="3" t="s">
        <v>5</v>
      </c>
      <c r="D57" s="3">
        <v>0</v>
      </c>
    </row>
    <row r="58" spans="1:4" x14ac:dyDescent="0.2">
      <c r="A58" s="2">
        <f t="shared" si="4"/>
        <v>54</v>
      </c>
      <c r="B58" s="7">
        <f t="shared" si="3"/>
        <v>52232</v>
      </c>
      <c r="C58" s="3" t="s">
        <v>5</v>
      </c>
      <c r="D58" s="3">
        <v>0</v>
      </c>
    </row>
    <row r="59" spans="1:4" x14ac:dyDescent="0.2">
      <c r="A59" s="2">
        <f>A58+1</f>
        <v>55</v>
      </c>
      <c r="B59" s="7">
        <f t="shared" si="3"/>
        <v>52597</v>
      </c>
      <c r="C59" s="3" t="s">
        <v>5</v>
      </c>
      <c r="D59" s="3">
        <v>0</v>
      </c>
    </row>
    <row r="60" spans="1:4" x14ac:dyDescent="0.2">
      <c r="A60" s="2">
        <f t="shared" si="4"/>
        <v>56</v>
      </c>
      <c r="B60" s="7">
        <f t="shared" si="3"/>
        <v>52963</v>
      </c>
      <c r="C60" s="3" t="s">
        <v>5</v>
      </c>
      <c r="D60" s="3">
        <v>0</v>
      </c>
    </row>
    <row r="61" spans="1:4" x14ac:dyDescent="0.2">
      <c r="A61" s="2">
        <f t="shared" si="4"/>
        <v>57</v>
      </c>
      <c r="B61" s="7">
        <f t="shared" si="3"/>
        <v>53328</v>
      </c>
      <c r="C61" s="3" t="s">
        <v>5</v>
      </c>
      <c r="D61" s="3">
        <v>0</v>
      </c>
    </row>
    <row r="62" spans="1:4" x14ac:dyDescent="0.2">
      <c r="A62" s="2">
        <f>A61+1</f>
        <v>58</v>
      </c>
      <c r="B62" s="7">
        <f t="shared" si="3"/>
        <v>53693</v>
      </c>
      <c r="C62" s="3" t="s">
        <v>5</v>
      </c>
      <c r="D62" s="3">
        <v>0</v>
      </c>
    </row>
    <row r="63" spans="1:4" x14ac:dyDescent="0.2">
      <c r="A63" s="2">
        <f t="shared" si="4"/>
        <v>59</v>
      </c>
      <c r="B63" s="7">
        <f t="shared" si="3"/>
        <v>54058</v>
      </c>
      <c r="C63" s="3" t="s">
        <v>5</v>
      </c>
      <c r="D63" s="3">
        <v>0</v>
      </c>
    </row>
    <row r="64" spans="1:4" x14ac:dyDescent="0.2">
      <c r="A64" s="2">
        <f>A63+1</f>
        <v>60</v>
      </c>
      <c r="B64" s="7">
        <f t="shared" si="3"/>
        <v>54424</v>
      </c>
      <c r="C64" s="3" t="s">
        <v>5</v>
      </c>
      <c r="D64" s="3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"/>
  <sheetViews>
    <sheetView topLeftCell="A12" workbookViewId="0">
      <selection activeCell="I8" sqref="I8:I9"/>
    </sheetView>
  </sheetViews>
  <sheetFormatPr baseColWidth="10" defaultColWidth="8.83203125" defaultRowHeight="15" x14ac:dyDescent="0.2"/>
  <cols>
    <col min="1" max="1" width="39.83203125" customWidth="1"/>
    <col min="2" max="2" width="14.6640625" customWidth="1"/>
    <col min="3" max="4" width="14.1640625" customWidth="1"/>
    <col min="5" max="5" width="14.5" customWidth="1"/>
  </cols>
  <sheetData>
    <row r="1" spans="1:11" ht="21" thickBot="1" x14ac:dyDescent="0.3">
      <c r="A1" s="1" t="str">
        <f ca="1">MID(CELL("filename",A1),FIND("]",CELL("filename",A1))+1,255)</f>
        <v>Workforce-Sailor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" thickTop="1" x14ac:dyDescent="0.2">
      <c r="A2" s="10" t="s">
        <v>33</v>
      </c>
    </row>
    <row r="4" spans="1:11" x14ac:dyDescent="0.2">
      <c r="A4" s="2" t="s">
        <v>12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11" x14ac:dyDescent="0.2">
      <c r="A5" s="2" t="s">
        <v>22</v>
      </c>
      <c r="B5" s="3">
        <v>20</v>
      </c>
      <c r="C5" s="3">
        <v>13</v>
      </c>
      <c r="D5" s="3">
        <v>7</v>
      </c>
      <c r="E5" s="3">
        <v>3</v>
      </c>
    </row>
    <row r="7" spans="1:11" x14ac:dyDescent="0.2">
      <c r="A7" s="6" t="s">
        <v>19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11" x14ac:dyDescent="0.2">
      <c r="A8" s="6" t="s">
        <v>25</v>
      </c>
      <c r="B8" s="3">
        <v>250</v>
      </c>
      <c r="C8" s="3">
        <v>400</v>
      </c>
      <c r="D8" s="3">
        <v>250</v>
      </c>
      <c r="E8" s="3">
        <v>100</v>
      </c>
    </row>
    <row r="9" spans="1:11" x14ac:dyDescent="0.2">
      <c r="A9" s="2" t="s">
        <v>16</v>
      </c>
      <c r="B9" s="11">
        <v>0</v>
      </c>
      <c r="C9" s="11">
        <v>0</v>
      </c>
      <c r="D9" s="11">
        <v>0</v>
      </c>
      <c r="E9" s="11">
        <v>0</v>
      </c>
    </row>
    <row r="10" spans="1:11" x14ac:dyDescent="0.2">
      <c r="A10" s="2" t="s">
        <v>17</v>
      </c>
      <c r="B10" s="3">
        <v>0</v>
      </c>
      <c r="C10" s="3">
        <v>0</v>
      </c>
      <c r="D10" s="3">
        <v>0</v>
      </c>
      <c r="E10" s="3">
        <v>0</v>
      </c>
    </row>
    <row r="11" spans="1:11" x14ac:dyDescent="0.2">
      <c r="A11" s="6" t="s">
        <v>26</v>
      </c>
      <c r="B11" s="3">
        <v>0</v>
      </c>
      <c r="C11" s="3">
        <v>0</v>
      </c>
      <c r="D11" s="3">
        <v>0</v>
      </c>
      <c r="E11" s="3">
        <v>0</v>
      </c>
    </row>
    <row r="12" spans="1:11" x14ac:dyDescent="0.2">
      <c r="A12" s="2" t="s">
        <v>18</v>
      </c>
      <c r="B12" s="3">
        <v>0</v>
      </c>
      <c r="C12" s="3">
        <v>0</v>
      </c>
      <c r="D12" s="3">
        <v>0</v>
      </c>
      <c r="E12" s="11">
        <v>0</v>
      </c>
    </row>
    <row r="14" spans="1:11" x14ac:dyDescent="0.2">
      <c r="A14" s="2" t="s">
        <v>42</v>
      </c>
      <c r="B14" s="2" t="s">
        <v>8</v>
      </c>
      <c r="C14" s="2" t="s">
        <v>9</v>
      </c>
      <c r="D14" s="2" t="s">
        <v>10</v>
      </c>
      <c r="E14" s="2" t="s">
        <v>11</v>
      </c>
    </row>
    <row r="15" spans="1:11" x14ac:dyDescent="0.2">
      <c r="A15" s="2" t="s">
        <v>27</v>
      </c>
      <c r="B15" s="3">
        <v>0</v>
      </c>
      <c r="C15" s="3">
        <v>0</v>
      </c>
      <c r="D15" s="3">
        <v>0</v>
      </c>
      <c r="E15" s="3">
        <v>0</v>
      </c>
    </row>
    <row r="16" spans="1:11" x14ac:dyDescent="0.2">
      <c r="A16" s="2" t="s">
        <v>35</v>
      </c>
      <c r="B16" s="3">
        <v>0</v>
      </c>
      <c r="C16" s="3">
        <v>0</v>
      </c>
      <c r="D16" s="3">
        <v>0</v>
      </c>
      <c r="E16" s="11">
        <v>0</v>
      </c>
    </row>
    <row r="17" spans="1:12" x14ac:dyDescent="0.2">
      <c r="A17" s="2" t="s">
        <v>29</v>
      </c>
      <c r="B17" s="3">
        <v>0</v>
      </c>
      <c r="C17" s="3">
        <v>0</v>
      </c>
      <c r="D17" s="3">
        <v>0</v>
      </c>
      <c r="E17" s="3">
        <v>0</v>
      </c>
      <c r="L17" s="2"/>
    </row>
    <row r="18" spans="1:12" x14ac:dyDescent="0.2">
      <c r="A18" s="6" t="s">
        <v>31</v>
      </c>
      <c r="B18" s="3">
        <v>0</v>
      </c>
      <c r="C18" s="3">
        <v>0</v>
      </c>
      <c r="D18" s="3">
        <v>0</v>
      </c>
      <c r="E18" s="11">
        <v>0</v>
      </c>
    </row>
    <row r="20" spans="1:12" x14ac:dyDescent="0.2">
      <c r="A20" s="2" t="s">
        <v>36</v>
      </c>
      <c r="B20" s="2" t="s">
        <v>8</v>
      </c>
      <c r="C20" s="2" t="s">
        <v>9</v>
      </c>
      <c r="D20" s="2" t="s">
        <v>10</v>
      </c>
      <c r="E20" s="2" t="s">
        <v>11</v>
      </c>
    </row>
    <row r="21" spans="1:12" x14ac:dyDescent="0.2">
      <c r="A21" s="2" t="s">
        <v>37</v>
      </c>
      <c r="B21" s="3">
        <v>0</v>
      </c>
      <c r="C21" s="3">
        <v>0</v>
      </c>
      <c r="D21" s="3">
        <v>0</v>
      </c>
      <c r="E21" s="3">
        <v>0</v>
      </c>
    </row>
    <row r="22" spans="1:12" x14ac:dyDescent="0.2">
      <c r="A22" s="2" t="s">
        <v>40</v>
      </c>
      <c r="B22" s="3">
        <v>0</v>
      </c>
      <c r="C22" s="3">
        <v>0</v>
      </c>
      <c r="D22" s="3">
        <v>0</v>
      </c>
      <c r="E22" s="11">
        <v>0</v>
      </c>
    </row>
    <row r="23" spans="1:12" x14ac:dyDescent="0.2">
      <c r="A23" s="2" t="s">
        <v>38</v>
      </c>
      <c r="B23" s="3">
        <v>0</v>
      </c>
      <c r="C23" s="3">
        <v>0</v>
      </c>
      <c r="D23" s="3">
        <v>0</v>
      </c>
      <c r="E23" s="3">
        <v>0</v>
      </c>
    </row>
    <row r="24" spans="1:12" x14ac:dyDescent="0.2">
      <c r="A24" s="6" t="s">
        <v>39</v>
      </c>
      <c r="B24" s="3">
        <v>0</v>
      </c>
      <c r="C24" s="3">
        <v>0</v>
      </c>
      <c r="D24" s="3">
        <v>0</v>
      </c>
      <c r="E24" s="11">
        <v>0</v>
      </c>
    </row>
    <row r="26" spans="1:12" x14ac:dyDescent="0.2">
      <c r="A26" s="6" t="s">
        <v>23</v>
      </c>
      <c r="B26" s="2" t="s">
        <v>8</v>
      </c>
      <c r="C26" s="2" t="s">
        <v>9</v>
      </c>
      <c r="D26" s="2" t="s">
        <v>10</v>
      </c>
      <c r="E26" s="2" t="s">
        <v>11</v>
      </c>
    </row>
    <row r="27" spans="1:12" x14ac:dyDescent="0.2">
      <c r="A27" s="6" t="s">
        <v>25</v>
      </c>
      <c r="B27" s="11">
        <v>0</v>
      </c>
      <c r="C27" s="11">
        <v>0</v>
      </c>
      <c r="D27" s="11">
        <v>0</v>
      </c>
      <c r="E27" s="11">
        <v>0</v>
      </c>
    </row>
    <row r="28" spans="1:12" x14ac:dyDescent="0.2">
      <c r="A28" s="2" t="s">
        <v>16</v>
      </c>
      <c r="B28" s="11">
        <v>0</v>
      </c>
      <c r="C28" s="11">
        <v>0</v>
      </c>
      <c r="D28" s="11">
        <v>0</v>
      </c>
      <c r="E28" s="11">
        <v>0</v>
      </c>
      <c r="F28" s="10"/>
    </row>
    <row r="29" spans="1:12" x14ac:dyDescent="0.2">
      <c r="A29" s="2" t="s">
        <v>17</v>
      </c>
      <c r="B29" s="3">
        <v>0.1</v>
      </c>
      <c r="C29" s="3">
        <v>0.06</v>
      </c>
      <c r="D29" s="3">
        <v>0.05</v>
      </c>
      <c r="E29" s="3">
        <v>0.01</v>
      </c>
    </row>
    <row r="30" spans="1:12" x14ac:dyDescent="0.2">
      <c r="A30" s="6" t="s">
        <v>26</v>
      </c>
      <c r="B30" s="11">
        <v>0</v>
      </c>
      <c r="C30" s="11">
        <v>0</v>
      </c>
      <c r="D30" s="11">
        <v>0</v>
      </c>
      <c r="E30" s="3">
        <v>0.01</v>
      </c>
    </row>
    <row r="31" spans="1:12" x14ac:dyDescent="0.2">
      <c r="A31" s="2" t="s">
        <v>18</v>
      </c>
      <c r="B31" s="3">
        <v>0.1</v>
      </c>
      <c r="C31" s="3">
        <v>0.06</v>
      </c>
      <c r="D31" s="3">
        <v>0.05</v>
      </c>
      <c r="E31" s="11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5"/>
  <sheetViews>
    <sheetView workbookViewId="0">
      <selection activeCell="H10" sqref="H10"/>
    </sheetView>
  </sheetViews>
  <sheetFormatPr baseColWidth="10" defaultColWidth="8.83203125" defaultRowHeight="15" x14ac:dyDescent="0.2"/>
  <cols>
    <col min="1" max="1" width="39.83203125" customWidth="1"/>
    <col min="2" max="2" width="14.6640625" customWidth="1"/>
    <col min="3" max="4" width="14.1640625" customWidth="1"/>
    <col min="5" max="5" width="14.5" customWidth="1"/>
  </cols>
  <sheetData>
    <row r="1" spans="1:11" ht="21" thickBot="1" x14ac:dyDescent="0.3">
      <c r="A1" s="1" t="str">
        <f ca="1">MID(CELL("filename",A1),FIND("]",CELL("filename",A1))+1,255)</f>
        <v>Workforce-Officer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" thickTop="1" x14ac:dyDescent="0.2">
      <c r="A2" s="10" t="s">
        <v>33</v>
      </c>
    </row>
    <row r="4" spans="1:11" x14ac:dyDescent="0.2">
      <c r="A4" s="2" t="s">
        <v>12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11" x14ac:dyDescent="0.2">
      <c r="A5" s="2" t="s">
        <v>22</v>
      </c>
      <c r="B5" s="3">
        <v>3</v>
      </c>
      <c r="C5" s="3">
        <v>5</v>
      </c>
      <c r="D5" s="3">
        <v>3</v>
      </c>
      <c r="E5" s="3">
        <v>1</v>
      </c>
    </row>
    <row r="7" spans="1:11" x14ac:dyDescent="0.2">
      <c r="A7" s="6" t="s">
        <v>19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11" x14ac:dyDescent="0.2">
      <c r="A8" s="6" t="s">
        <v>25</v>
      </c>
      <c r="B8" s="3">
        <v>100</v>
      </c>
      <c r="C8" s="3">
        <v>150</v>
      </c>
      <c r="D8" s="3">
        <v>150</v>
      </c>
      <c r="E8" s="3">
        <v>100</v>
      </c>
    </row>
    <row r="9" spans="1:11" x14ac:dyDescent="0.2">
      <c r="A9" s="2" t="s">
        <v>16</v>
      </c>
      <c r="B9" s="11">
        <v>0</v>
      </c>
      <c r="C9" s="11">
        <v>0</v>
      </c>
      <c r="D9" s="11">
        <v>0</v>
      </c>
      <c r="E9" s="11">
        <v>0</v>
      </c>
    </row>
    <row r="10" spans="1:11" x14ac:dyDescent="0.2">
      <c r="A10" s="2" t="s">
        <v>17</v>
      </c>
      <c r="B10" s="3">
        <v>0</v>
      </c>
      <c r="C10" s="3">
        <v>0</v>
      </c>
      <c r="D10" s="3">
        <v>0</v>
      </c>
      <c r="E10" s="3">
        <v>0</v>
      </c>
    </row>
    <row r="11" spans="1:11" x14ac:dyDescent="0.2">
      <c r="A11" s="6" t="s">
        <v>26</v>
      </c>
      <c r="B11" s="3">
        <v>0</v>
      </c>
      <c r="C11" s="3">
        <v>0</v>
      </c>
      <c r="D11" s="3">
        <v>0</v>
      </c>
      <c r="E11" s="3">
        <v>0</v>
      </c>
    </row>
    <row r="12" spans="1:11" x14ac:dyDescent="0.2">
      <c r="A12" s="2" t="s">
        <v>18</v>
      </c>
      <c r="B12" s="3">
        <v>0</v>
      </c>
      <c r="C12" s="3">
        <v>0</v>
      </c>
      <c r="D12" s="3">
        <v>0</v>
      </c>
      <c r="E12" s="11">
        <v>0</v>
      </c>
    </row>
    <row r="14" spans="1:11" x14ac:dyDescent="0.2">
      <c r="A14" s="2" t="s">
        <v>42</v>
      </c>
      <c r="B14" s="2" t="s">
        <v>8</v>
      </c>
      <c r="C14" s="2" t="s">
        <v>9</v>
      </c>
      <c r="D14" s="2" t="s">
        <v>10</v>
      </c>
      <c r="E14" s="2" t="s">
        <v>11</v>
      </c>
    </row>
    <row r="15" spans="1:11" x14ac:dyDescent="0.2">
      <c r="A15" s="2" t="s">
        <v>27</v>
      </c>
      <c r="B15" s="3">
        <v>0</v>
      </c>
      <c r="C15" s="3">
        <v>0</v>
      </c>
      <c r="D15" s="3">
        <v>0</v>
      </c>
      <c r="E15" s="3">
        <v>0</v>
      </c>
    </row>
    <row r="16" spans="1:11" x14ac:dyDescent="0.2">
      <c r="A16" s="2" t="s">
        <v>35</v>
      </c>
      <c r="B16" s="3">
        <v>0</v>
      </c>
      <c r="C16" s="3">
        <v>0</v>
      </c>
      <c r="D16" s="3">
        <v>0</v>
      </c>
      <c r="E16" s="11">
        <v>0</v>
      </c>
    </row>
    <row r="17" spans="1:12" x14ac:dyDescent="0.2">
      <c r="A17" s="2" t="s">
        <v>29</v>
      </c>
      <c r="B17" s="3">
        <v>0</v>
      </c>
      <c r="C17" s="3">
        <v>0</v>
      </c>
      <c r="D17" s="3">
        <v>0</v>
      </c>
      <c r="E17" s="3">
        <v>0</v>
      </c>
      <c r="L17" s="2"/>
    </row>
    <row r="18" spans="1:12" x14ac:dyDescent="0.2">
      <c r="A18" s="6" t="s">
        <v>31</v>
      </c>
      <c r="B18" s="3">
        <v>0</v>
      </c>
      <c r="C18" s="3">
        <v>0</v>
      </c>
      <c r="D18" s="3">
        <v>0</v>
      </c>
      <c r="E18" s="11">
        <v>0</v>
      </c>
    </row>
    <row r="20" spans="1:12" x14ac:dyDescent="0.2">
      <c r="A20" s="2" t="s">
        <v>36</v>
      </c>
      <c r="B20" s="2" t="s">
        <v>8</v>
      </c>
      <c r="C20" s="2" t="s">
        <v>9</v>
      </c>
      <c r="D20" s="2" t="s">
        <v>10</v>
      </c>
      <c r="E20" s="2" t="s">
        <v>11</v>
      </c>
    </row>
    <row r="21" spans="1:12" x14ac:dyDescent="0.2">
      <c r="A21" s="2" t="s">
        <v>37</v>
      </c>
      <c r="B21" s="3">
        <v>0</v>
      </c>
      <c r="C21" s="3">
        <v>0</v>
      </c>
      <c r="D21" s="3">
        <v>0</v>
      </c>
      <c r="E21" s="3">
        <v>0</v>
      </c>
    </row>
    <row r="22" spans="1:12" x14ac:dyDescent="0.2">
      <c r="A22" s="2" t="s">
        <v>40</v>
      </c>
      <c r="B22" s="3">
        <v>0</v>
      </c>
      <c r="C22" s="3">
        <v>0</v>
      </c>
      <c r="D22" s="3">
        <v>0</v>
      </c>
      <c r="E22" s="11">
        <v>0</v>
      </c>
    </row>
    <row r="23" spans="1:12" x14ac:dyDescent="0.2">
      <c r="A23" s="2" t="s">
        <v>38</v>
      </c>
      <c r="B23" s="3">
        <v>0</v>
      </c>
      <c r="C23" s="3">
        <v>0</v>
      </c>
      <c r="D23" s="3">
        <v>0</v>
      </c>
      <c r="E23" s="3">
        <v>0</v>
      </c>
    </row>
    <row r="24" spans="1:12" x14ac:dyDescent="0.2">
      <c r="A24" s="6" t="s">
        <v>39</v>
      </c>
      <c r="B24" s="3">
        <v>0</v>
      </c>
      <c r="C24" s="3">
        <v>0</v>
      </c>
      <c r="D24" s="3">
        <v>0</v>
      </c>
      <c r="E24" s="11">
        <v>0</v>
      </c>
    </row>
    <row r="26" spans="1:12" x14ac:dyDescent="0.2">
      <c r="A26" s="6" t="s">
        <v>23</v>
      </c>
      <c r="B26" s="2" t="s">
        <v>8</v>
      </c>
      <c r="C26" s="2" t="s">
        <v>9</v>
      </c>
      <c r="D26" s="2" t="s">
        <v>10</v>
      </c>
      <c r="E26" s="2" t="s">
        <v>11</v>
      </c>
    </row>
    <row r="27" spans="1:12" x14ac:dyDescent="0.2">
      <c r="A27" s="6" t="s">
        <v>25</v>
      </c>
      <c r="B27" s="11">
        <v>0</v>
      </c>
      <c r="C27" s="11">
        <v>0</v>
      </c>
      <c r="D27" s="11">
        <v>0</v>
      </c>
      <c r="E27" s="11">
        <v>0</v>
      </c>
    </row>
    <row r="28" spans="1:12" x14ac:dyDescent="0.2">
      <c r="A28" s="2" t="s">
        <v>16</v>
      </c>
      <c r="B28" s="11">
        <v>0</v>
      </c>
      <c r="C28" s="11">
        <v>0</v>
      </c>
      <c r="D28" s="11">
        <v>0</v>
      </c>
      <c r="E28" s="11">
        <v>0</v>
      </c>
      <c r="F28" s="10"/>
    </row>
    <row r="29" spans="1:12" x14ac:dyDescent="0.2">
      <c r="A29" s="2" t="s">
        <v>17</v>
      </c>
      <c r="B29" s="3">
        <v>7.0000000000000007E-2</v>
      </c>
      <c r="C29" s="3">
        <v>0.06</v>
      </c>
      <c r="D29" s="3">
        <v>0.05</v>
      </c>
      <c r="E29" s="3">
        <v>0.01</v>
      </c>
    </row>
    <row r="30" spans="1:12" x14ac:dyDescent="0.2">
      <c r="A30" s="6" t="s">
        <v>26</v>
      </c>
      <c r="B30" s="11">
        <v>0</v>
      </c>
      <c r="C30" s="11">
        <v>0</v>
      </c>
      <c r="D30" s="11">
        <v>0</v>
      </c>
      <c r="E30" s="3">
        <v>0.01</v>
      </c>
    </row>
    <row r="31" spans="1:12" x14ac:dyDescent="0.2">
      <c r="A31" s="2" t="s">
        <v>18</v>
      </c>
      <c r="B31" s="3">
        <v>7.0000000000000007E-2</v>
      </c>
      <c r="C31" s="3">
        <v>0.06</v>
      </c>
      <c r="D31" s="3">
        <v>0.05</v>
      </c>
      <c r="E31" s="11">
        <v>0</v>
      </c>
    </row>
    <row r="33" spans="1:5" x14ac:dyDescent="0.2">
      <c r="A33" s="6"/>
      <c r="B33" s="2"/>
      <c r="C33" s="2"/>
      <c r="D33" s="2"/>
      <c r="E33" s="2"/>
    </row>
    <row r="34" spans="1:5" x14ac:dyDescent="0.2">
      <c r="A34" s="6"/>
    </row>
    <row r="35" spans="1:5" x14ac:dyDescent="0.2">
      <c r="A35" s="6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workbookViewId="0">
      <selection activeCell="I25" sqref="I25"/>
    </sheetView>
  </sheetViews>
  <sheetFormatPr baseColWidth="10" defaultColWidth="8.83203125" defaultRowHeight="15" x14ac:dyDescent="0.2"/>
  <cols>
    <col min="2" max="2" width="30.1640625" bestFit="1" customWidth="1"/>
  </cols>
  <sheetData>
    <row r="1" spans="1:6" x14ac:dyDescent="0.2">
      <c r="A1" s="10" t="s">
        <v>51</v>
      </c>
    </row>
    <row r="2" spans="1:6" x14ac:dyDescent="0.2">
      <c r="A2" s="10"/>
    </row>
    <row r="3" spans="1:6" x14ac:dyDescent="0.2">
      <c r="C3" s="2" t="s">
        <v>8</v>
      </c>
      <c r="D3" s="2" t="s">
        <v>9</v>
      </c>
      <c r="E3" s="2" t="s">
        <v>10</v>
      </c>
      <c r="F3" s="2" t="s">
        <v>11</v>
      </c>
    </row>
    <row r="4" spans="1:6" x14ac:dyDescent="0.2">
      <c r="B4" t="s">
        <v>5</v>
      </c>
      <c r="C4" s="3">
        <v>19000</v>
      </c>
      <c r="D4" s="3">
        <v>25000</v>
      </c>
      <c r="E4" s="3">
        <v>32000</v>
      </c>
      <c r="F4" s="3">
        <v>44000</v>
      </c>
    </row>
    <row r="5" spans="1:6" x14ac:dyDescent="0.2">
      <c r="B5" t="s">
        <v>6</v>
      </c>
      <c r="C5" s="3">
        <v>14000</v>
      </c>
      <c r="D5" s="3">
        <v>16000</v>
      </c>
      <c r="E5" s="3">
        <v>20000</v>
      </c>
      <c r="F5" s="3">
        <v>25000</v>
      </c>
    </row>
    <row r="8" spans="1:6" x14ac:dyDescent="0.2">
      <c r="B8" t="s">
        <v>52</v>
      </c>
      <c r="C8" s="3">
        <v>23000000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Model</vt:lpstr>
      <vt:lpstr>Fleet Size Schedule</vt:lpstr>
      <vt:lpstr>Input Rate Schedule</vt:lpstr>
      <vt:lpstr>Workforce-Sailor</vt:lpstr>
      <vt:lpstr>Workforce-Officer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 Harris</dc:creator>
  <cp:lastModifiedBy>Microsoft Office User</cp:lastModifiedBy>
  <dcterms:created xsi:type="dcterms:W3CDTF">2018-10-08T23:48:44Z</dcterms:created>
  <dcterms:modified xsi:type="dcterms:W3CDTF">2020-09-26T13:51:47Z</dcterms:modified>
</cp:coreProperties>
</file>